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Indian Veterinary Research Institute M.Sc. Agrcultural Statistics\Thesis Work\Interviews\"/>
    </mc:Choice>
  </mc:AlternateContent>
  <xr:revisionPtr revIDLastSave="0" documentId="13_ncr:1_{0787C0B0-0BD3-4810-B0BF-B8FEAE8849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S6" i="1" l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5" i="1"/>
  <c r="BD6" i="1" l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5" i="1"/>
  <c r="AP212" i="1"/>
  <c r="L212" i="1"/>
  <c r="AP211" i="1"/>
  <c r="AV211" i="1" s="1"/>
  <c r="L211" i="1"/>
  <c r="AP210" i="1"/>
  <c r="AV210" i="1" s="1"/>
  <c r="L210" i="1"/>
  <c r="AP209" i="1"/>
  <c r="AV209" i="1" s="1"/>
  <c r="L209" i="1"/>
  <c r="AP208" i="1"/>
  <c r="L208" i="1"/>
  <c r="AP207" i="1"/>
  <c r="L207" i="1"/>
  <c r="AP206" i="1"/>
  <c r="AV206" i="1" s="1"/>
  <c r="L206" i="1"/>
  <c r="AP205" i="1"/>
  <c r="AV205" i="1" s="1"/>
  <c r="L205" i="1"/>
  <c r="AP204" i="1"/>
  <c r="L204" i="1"/>
  <c r="AP203" i="1"/>
  <c r="AV203" i="1" s="1"/>
  <c r="L203" i="1"/>
  <c r="AP202" i="1"/>
  <c r="AV202" i="1" s="1"/>
  <c r="L202" i="1"/>
  <c r="AP201" i="1"/>
  <c r="L201" i="1"/>
  <c r="AP200" i="1"/>
  <c r="AV200" i="1" s="1"/>
  <c r="L200" i="1"/>
  <c r="AP199" i="1"/>
  <c r="AV199" i="1" s="1"/>
  <c r="L199" i="1"/>
  <c r="AP198" i="1"/>
  <c r="AV198" i="1" s="1"/>
  <c r="L198" i="1"/>
  <c r="AP197" i="1"/>
  <c r="AW197" i="1" s="1"/>
  <c r="L197" i="1"/>
  <c r="AP196" i="1"/>
  <c r="L196" i="1"/>
  <c r="AP195" i="1"/>
  <c r="AV195" i="1" s="1"/>
  <c r="L195" i="1"/>
  <c r="AP194" i="1"/>
  <c r="AX194" i="1" s="1"/>
  <c r="L194" i="1"/>
  <c r="AP193" i="1"/>
  <c r="AV193" i="1" s="1"/>
  <c r="L193" i="1"/>
  <c r="AP192" i="1"/>
  <c r="L192" i="1"/>
  <c r="AP191" i="1"/>
  <c r="AV191" i="1" s="1"/>
  <c r="L191" i="1"/>
  <c r="AP190" i="1"/>
  <c r="AV190" i="1" s="1"/>
  <c r="L190" i="1"/>
  <c r="AP189" i="1"/>
  <c r="AV189" i="1" s="1"/>
  <c r="L189" i="1"/>
  <c r="AP188" i="1"/>
  <c r="L188" i="1"/>
  <c r="AP187" i="1"/>
  <c r="L187" i="1"/>
  <c r="AP186" i="1"/>
  <c r="AV186" i="1" s="1"/>
  <c r="L186" i="1"/>
  <c r="AP185" i="1"/>
  <c r="AV185" i="1" s="1"/>
  <c r="L185" i="1"/>
  <c r="AP184" i="1"/>
  <c r="AV184" i="1" s="1"/>
  <c r="L184" i="1"/>
  <c r="AP183" i="1"/>
  <c r="L183" i="1"/>
  <c r="AP182" i="1"/>
  <c r="AV182" i="1" s="1"/>
  <c r="L182" i="1"/>
  <c r="AP181" i="1"/>
  <c r="AV181" i="1" s="1"/>
  <c r="L181" i="1"/>
  <c r="AP180" i="1"/>
  <c r="L180" i="1"/>
  <c r="AP179" i="1"/>
  <c r="AV179" i="1" s="1"/>
  <c r="L179" i="1"/>
  <c r="AP178" i="1"/>
  <c r="AV178" i="1" s="1"/>
  <c r="L178" i="1"/>
  <c r="AP177" i="1"/>
  <c r="L177" i="1"/>
  <c r="AP176" i="1"/>
  <c r="L176" i="1"/>
  <c r="AP175" i="1"/>
  <c r="AV175" i="1" s="1"/>
  <c r="L175" i="1"/>
  <c r="AP174" i="1"/>
  <c r="L174" i="1"/>
  <c r="AP173" i="1"/>
  <c r="AV173" i="1" s="1"/>
  <c r="L173" i="1"/>
  <c r="AP172" i="1"/>
  <c r="L172" i="1"/>
  <c r="AP171" i="1"/>
  <c r="AV171" i="1" s="1"/>
  <c r="L171" i="1"/>
  <c r="AP170" i="1"/>
  <c r="AV170" i="1" s="1"/>
  <c r="L170" i="1"/>
  <c r="AP169" i="1"/>
  <c r="AV169" i="1" s="1"/>
  <c r="L169" i="1"/>
  <c r="AP168" i="1"/>
  <c r="L168" i="1"/>
  <c r="AP167" i="1"/>
  <c r="AV167" i="1" s="1"/>
  <c r="L167" i="1"/>
  <c r="AP166" i="1"/>
  <c r="AV166" i="1" s="1"/>
  <c r="L166" i="1"/>
  <c r="AP165" i="1"/>
  <c r="AV165" i="1" s="1"/>
  <c r="L165" i="1"/>
  <c r="AP164" i="1"/>
  <c r="AW164" i="1" s="1"/>
  <c r="L164" i="1"/>
  <c r="AP163" i="1"/>
  <c r="AX163" i="1" s="1"/>
  <c r="L163" i="1"/>
  <c r="AP162" i="1"/>
  <c r="L162" i="1"/>
  <c r="AP161" i="1"/>
  <c r="AV161" i="1" s="1"/>
  <c r="L161" i="1"/>
  <c r="AP160" i="1"/>
  <c r="AW160" i="1" s="1"/>
  <c r="L160" i="1"/>
  <c r="AP159" i="1"/>
  <c r="AX159" i="1" s="1"/>
  <c r="L159" i="1"/>
  <c r="AP158" i="1"/>
  <c r="L158" i="1"/>
  <c r="AP157" i="1"/>
  <c r="AV157" i="1" s="1"/>
  <c r="L157" i="1"/>
  <c r="AP156" i="1"/>
  <c r="AW156" i="1" s="1"/>
  <c r="L156" i="1"/>
  <c r="AP155" i="1"/>
  <c r="AX155" i="1" s="1"/>
  <c r="L155" i="1"/>
  <c r="AP154" i="1"/>
  <c r="AV154" i="1" s="1"/>
  <c r="L154" i="1"/>
  <c r="AP153" i="1"/>
  <c r="AV153" i="1" s="1"/>
  <c r="L153" i="1"/>
  <c r="AP152" i="1"/>
  <c r="AX152" i="1" s="1"/>
  <c r="L152" i="1"/>
  <c r="AP151" i="1"/>
  <c r="AX151" i="1" s="1"/>
  <c r="L151" i="1"/>
  <c r="AP150" i="1"/>
  <c r="L150" i="1"/>
  <c r="AP149" i="1"/>
  <c r="AV149" i="1" s="1"/>
  <c r="L149" i="1"/>
  <c r="AP148" i="1"/>
  <c r="AX148" i="1" s="1"/>
  <c r="L148" i="1"/>
  <c r="AP147" i="1"/>
  <c r="AX147" i="1" s="1"/>
  <c r="L147" i="1"/>
  <c r="AP146" i="1"/>
  <c r="L146" i="1"/>
  <c r="AP145" i="1"/>
  <c r="AV145" i="1" s="1"/>
  <c r="L145" i="1"/>
  <c r="AP144" i="1"/>
  <c r="L144" i="1"/>
  <c r="AP143" i="1"/>
  <c r="L143" i="1"/>
  <c r="AP142" i="1"/>
  <c r="AQ142" i="1" s="1"/>
  <c r="L142" i="1"/>
  <c r="AP141" i="1"/>
  <c r="AX141" i="1" s="1"/>
  <c r="L141" i="1"/>
  <c r="AP140" i="1"/>
  <c r="AW140" i="1" s="1"/>
  <c r="L140" i="1"/>
  <c r="AP139" i="1"/>
  <c r="AV139" i="1" s="1"/>
  <c r="L139" i="1"/>
  <c r="AP138" i="1"/>
  <c r="AQ138" i="1" s="1"/>
  <c r="L138" i="1"/>
  <c r="AP137" i="1"/>
  <c r="AX137" i="1" s="1"/>
  <c r="L137" i="1"/>
  <c r="AP136" i="1"/>
  <c r="AT136" i="1" s="1"/>
  <c r="L136" i="1"/>
  <c r="AP135" i="1"/>
  <c r="L135" i="1"/>
  <c r="AP134" i="1"/>
  <c r="L134" i="1"/>
  <c r="AP133" i="1"/>
  <c r="AV133" i="1" s="1"/>
  <c r="L133" i="1"/>
  <c r="AP132" i="1"/>
  <c r="AX132" i="1" s="1"/>
  <c r="L132" i="1"/>
  <c r="AP131" i="1"/>
  <c r="AU131" i="1" s="1"/>
  <c r="L131" i="1"/>
  <c r="AP130" i="1"/>
  <c r="AV130" i="1" s="1"/>
  <c r="L130" i="1"/>
  <c r="AP129" i="1"/>
  <c r="AX129" i="1" s="1"/>
  <c r="L129" i="1"/>
  <c r="AP128" i="1"/>
  <c r="AW128" i="1" s="1"/>
  <c r="L128" i="1"/>
  <c r="AP127" i="1"/>
  <c r="AU127" i="1" s="1"/>
  <c r="L127" i="1"/>
  <c r="AP126" i="1"/>
  <c r="L126" i="1"/>
  <c r="AP125" i="1"/>
  <c r="AV125" i="1" s="1"/>
  <c r="L125" i="1"/>
  <c r="AP124" i="1"/>
  <c r="AW124" i="1" s="1"/>
  <c r="L124" i="1"/>
  <c r="AP123" i="1"/>
  <c r="AU123" i="1" s="1"/>
  <c r="L123" i="1"/>
  <c r="AP122" i="1"/>
  <c r="AV122" i="1" s="1"/>
  <c r="L122" i="1"/>
  <c r="AP121" i="1"/>
  <c r="AX121" i="1" s="1"/>
  <c r="L121" i="1"/>
  <c r="AP120" i="1"/>
  <c r="AV120" i="1" s="1"/>
  <c r="L120" i="1"/>
  <c r="AP119" i="1"/>
  <c r="AW119" i="1" s="1"/>
  <c r="L119" i="1"/>
  <c r="AP118" i="1"/>
  <c r="AV118" i="1" s="1"/>
  <c r="L118" i="1"/>
  <c r="AP117" i="1"/>
  <c r="AU117" i="1" s="1"/>
  <c r="L117" i="1"/>
  <c r="AP116" i="1"/>
  <c r="AV116" i="1" s="1"/>
  <c r="L116" i="1"/>
  <c r="AP115" i="1"/>
  <c r="AV115" i="1" s="1"/>
  <c r="L115" i="1"/>
  <c r="AP114" i="1"/>
  <c r="AU114" i="1" s="1"/>
  <c r="L114" i="1"/>
  <c r="AP113" i="1"/>
  <c r="AV113" i="1" s="1"/>
  <c r="L113" i="1"/>
  <c r="AP112" i="1"/>
  <c r="AQ112" i="1" s="1"/>
  <c r="L112" i="1"/>
  <c r="AP111" i="1"/>
  <c r="AW111" i="1" s="1"/>
  <c r="L111" i="1"/>
  <c r="AP110" i="1"/>
  <c r="AX110" i="1" s="1"/>
  <c r="L110" i="1"/>
  <c r="AP109" i="1"/>
  <c r="AW109" i="1" s="1"/>
  <c r="L109" i="1"/>
  <c r="AP108" i="1"/>
  <c r="AQ108" i="1" s="1"/>
  <c r="L108" i="1"/>
  <c r="AP107" i="1"/>
  <c r="AV107" i="1" s="1"/>
  <c r="L107" i="1"/>
  <c r="AP106" i="1"/>
  <c r="AX106" i="1" s="1"/>
  <c r="L106" i="1"/>
  <c r="AP105" i="1"/>
  <c r="L105" i="1"/>
  <c r="AP104" i="1"/>
  <c r="AW104" i="1" s="1"/>
  <c r="L104" i="1"/>
  <c r="AP103" i="1"/>
  <c r="AW103" i="1" s="1"/>
  <c r="L103" i="1"/>
  <c r="AP102" i="1"/>
  <c r="AV102" i="1" s="1"/>
  <c r="L102" i="1"/>
  <c r="AP101" i="1"/>
  <c r="AW101" i="1" s="1"/>
  <c r="L101" i="1"/>
  <c r="AP100" i="1"/>
  <c r="AQ100" i="1" s="1"/>
  <c r="L100" i="1"/>
  <c r="AP99" i="1"/>
  <c r="AQ99" i="1" s="1"/>
  <c r="L99" i="1"/>
  <c r="AP98" i="1"/>
  <c r="AV98" i="1" s="1"/>
  <c r="L98" i="1"/>
  <c r="AP97" i="1"/>
  <c r="AQ97" i="1" s="1"/>
  <c r="L97" i="1"/>
  <c r="AP96" i="1"/>
  <c r="L96" i="1"/>
  <c r="AP95" i="1"/>
  <c r="AW95" i="1" s="1"/>
  <c r="L95" i="1"/>
  <c r="AP94" i="1"/>
  <c r="AX94" i="1" s="1"/>
  <c r="L94" i="1"/>
  <c r="AP93" i="1"/>
  <c r="AW93" i="1" s="1"/>
  <c r="L93" i="1"/>
  <c r="AP92" i="1"/>
  <c r="AV92" i="1" s="1"/>
  <c r="L92" i="1"/>
  <c r="AP91" i="1"/>
  <c r="AW91" i="1" s="1"/>
  <c r="L91" i="1"/>
  <c r="AP90" i="1"/>
  <c r="L90" i="1"/>
  <c r="AP89" i="1"/>
  <c r="AV89" i="1" s="1"/>
  <c r="L89" i="1"/>
  <c r="AP88" i="1"/>
  <c r="AW88" i="1" s="1"/>
  <c r="L88" i="1"/>
  <c r="AP87" i="1"/>
  <c r="AW87" i="1" s="1"/>
  <c r="L87" i="1"/>
  <c r="AP86" i="1"/>
  <c r="AU86" i="1" s="1"/>
  <c r="L86" i="1"/>
  <c r="AP85" i="1"/>
  <c r="AW85" i="1" s="1"/>
  <c r="L85" i="1"/>
  <c r="AP84" i="1"/>
  <c r="AV84" i="1" s="1"/>
  <c r="L84" i="1"/>
  <c r="AP83" i="1"/>
  <c r="AW83" i="1" s="1"/>
  <c r="L83" i="1"/>
  <c r="AP82" i="1"/>
  <c r="AX82" i="1" s="1"/>
  <c r="L82" i="1"/>
  <c r="AP81" i="1"/>
  <c r="AQ81" i="1" s="1"/>
  <c r="L81" i="1"/>
  <c r="AP80" i="1"/>
  <c r="AT80" i="1" s="1"/>
  <c r="L80" i="1"/>
  <c r="AP79" i="1"/>
  <c r="AT79" i="1" s="1"/>
  <c r="L79" i="1"/>
  <c r="AP78" i="1"/>
  <c r="AU78" i="1" s="1"/>
  <c r="L78" i="1"/>
  <c r="AP77" i="1"/>
  <c r="AV77" i="1" s="1"/>
  <c r="L77" i="1"/>
  <c r="AP76" i="1"/>
  <c r="AV76" i="1" s="1"/>
  <c r="L76" i="1"/>
  <c r="AP75" i="1"/>
  <c r="AT75" i="1" s="1"/>
  <c r="L75" i="1"/>
  <c r="AP74" i="1"/>
  <c r="AU74" i="1" s="1"/>
  <c r="L74" i="1"/>
  <c r="AP73" i="1"/>
  <c r="L73" i="1"/>
  <c r="AP72" i="1"/>
  <c r="AX72" i="1" s="1"/>
  <c r="L72" i="1"/>
  <c r="AP71" i="1"/>
  <c r="AV71" i="1" s="1"/>
  <c r="L71" i="1"/>
  <c r="AP70" i="1"/>
  <c r="AV70" i="1" s="1"/>
  <c r="L70" i="1"/>
  <c r="AP69" i="1"/>
  <c r="AV69" i="1" s="1"/>
  <c r="L69" i="1"/>
  <c r="AP68" i="1"/>
  <c r="L68" i="1"/>
  <c r="AP67" i="1"/>
  <c r="AV67" i="1" s="1"/>
  <c r="L67" i="1"/>
  <c r="AP66" i="1"/>
  <c r="AV66" i="1" s="1"/>
  <c r="L66" i="1"/>
  <c r="AP65" i="1"/>
  <c r="AV65" i="1" s="1"/>
  <c r="L65" i="1"/>
  <c r="AP64" i="1"/>
  <c r="AX64" i="1" s="1"/>
  <c r="L64" i="1"/>
  <c r="AP63" i="1"/>
  <c r="AV63" i="1" s="1"/>
  <c r="L63" i="1"/>
  <c r="AP62" i="1"/>
  <c r="AU62" i="1" s="1"/>
  <c r="L62" i="1"/>
  <c r="AP61" i="1"/>
  <c r="AV61" i="1" s="1"/>
  <c r="L61" i="1"/>
  <c r="AP60" i="1"/>
  <c r="AV60" i="1" s="1"/>
  <c r="L60" i="1"/>
  <c r="AP59" i="1"/>
  <c r="AV59" i="1" s="1"/>
  <c r="L59" i="1"/>
  <c r="AP58" i="1"/>
  <c r="AU58" i="1" s="1"/>
  <c r="L58" i="1"/>
  <c r="AP57" i="1"/>
  <c r="AU57" i="1" s="1"/>
  <c r="L57" i="1"/>
  <c r="AP56" i="1"/>
  <c r="AX56" i="1" s="1"/>
  <c r="L56" i="1"/>
  <c r="AP55" i="1"/>
  <c r="AV55" i="1" s="1"/>
  <c r="L55" i="1"/>
  <c r="AP54" i="1"/>
  <c r="AU54" i="1" s="1"/>
  <c r="L54" i="1"/>
  <c r="AP53" i="1"/>
  <c r="AU53" i="1" s="1"/>
  <c r="L53" i="1"/>
  <c r="AP52" i="1"/>
  <c r="L52" i="1"/>
  <c r="AP51" i="1"/>
  <c r="AV51" i="1" s="1"/>
  <c r="L51" i="1"/>
  <c r="AP50" i="1"/>
  <c r="AV50" i="1" s="1"/>
  <c r="L50" i="1"/>
  <c r="AP49" i="1"/>
  <c r="AV49" i="1" s="1"/>
  <c r="L49" i="1"/>
  <c r="AP48" i="1"/>
  <c r="AX48" i="1" s="1"/>
  <c r="L48" i="1"/>
  <c r="AP47" i="1"/>
  <c r="AV47" i="1" s="1"/>
  <c r="L47" i="1"/>
  <c r="AP46" i="1"/>
  <c r="L46" i="1"/>
  <c r="AP45" i="1"/>
  <c r="AV45" i="1" s="1"/>
  <c r="L45" i="1"/>
  <c r="AP44" i="1"/>
  <c r="AT44" i="1" s="1"/>
  <c r="L44" i="1"/>
  <c r="AP43" i="1"/>
  <c r="AV43" i="1" s="1"/>
  <c r="L43" i="1"/>
  <c r="AP42" i="1"/>
  <c r="AV42" i="1" s="1"/>
  <c r="L42" i="1"/>
  <c r="AP41" i="1"/>
  <c r="AU41" i="1" s="1"/>
  <c r="L41" i="1"/>
  <c r="AP40" i="1"/>
  <c r="AX40" i="1" s="1"/>
  <c r="L40" i="1"/>
  <c r="AP39" i="1"/>
  <c r="AV39" i="1" s="1"/>
  <c r="L39" i="1"/>
  <c r="AP38" i="1"/>
  <c r="AU38" i="1" s="1"/>
  <c r="L38" i="1"/>
  <c r="AP37" i="1"/>
  <c r="AQ37" i="1" s="1"/>
  <c r="L37" i="1"/>
  <c r="AP36" i="1"/>
  <c r="L36" i="1"/>
  <c r="AP35" i="1"/>
  <c r="AV35" i="1" s="1"/>
  <c r="L35" i="1"/>
  <c r="AP34" i="1"/>
  <c r="AV34" i="1" s="1"/>
  <c r="L34" i="1"/>
  <c r="AP33" i="1"/>
  <c r="AU33" i="1" s="1"/>
  <c r="L33" i="1"/>
  <c r="AP32" i="1"/>
  <c r="AV32" i="1" s="1"/>
  <c r="L32" i="1"/>
  <c r="AP31" i="1"/>
  <c r="AV31" i="1" s="1"/>
  <c r="L31" i="1"/>
  <c r="AP30" i="1"/>
  <c r="AU30" i="1" s="1"/>
  <c r="L30" i="1"/>
  <c r="AP29" i="1"/>
  <c r="AV29" i="1" s="1"/>
  <c r="L29" i="1"/>
  <c r="AP28" i="1"/>
  <c r="AV28" i="1" s="1"/>
  <c r="L28" i="1"/>
  <c r="AP27" i="1"/>
  <c r="AV27" i="1" s="1"/>
  <c r="L27" i="1"/>
  <c r="AP26" i="1"/>
  <c r="AV26" i="1" s="1"/>
  <c r="L26" i="1"/>
  <c r="AP25" i="1"/>
  <c r="L25" i="1"/>
  <c r="AP24" i="1"/>
  <c r="AX24" i="1" s="1"/>
  <c r="L24" i="1"/>
  <c r="AP23" i="1"/>
  <c r="AV23" i="1" s="1"/>
  <c r="L23" i="1"/>
  <c r="AP22" i="1"/>
  <c r="AV22" i="1" s="1"/>
  <c r="L22" i="1"/>
  <c r="AP21" i="1"/>
  <c r="AV21" i="1" s="1"/>
  <c r="L21" i="1"/>
  <c r="AP20" i="1"/>
  <c r="AT20" i="1" s="1"/>
  <c r="L20" i="1"/>
  <c r="AP19" i="1"/>
  <c r="AV19" i="1" s="1"/>
  <c r="L19" i="1"/>
  <c r="AP18" i="1"/>
  <c r="AT18" i="1" s="1"/>
  <c r="L18" i="1"/>
  <c r="AP17" i="1"/>
  <c r="AV17" i="1" s="1"/>
  <c r="L17" i="1"/>
  <c r="AP16" i="1"/>
  <c r="AT16" i="1" s="1"/>
  <c r="L16" i="1"/>
  <c r="AP15" i="1"/>
  <c r="AV15" i="1" s="1"/>
  <c r="L15" i="1"/>
  <c r="AP14" i="1"/>
  <c r="L14" i="1"/>
  <c r="AP13" i="1"/>
  <c r="AQ13" i="1" s="1"/>
  <c r="L13" i="1"/>
  <c r="AP12" i="1"/>
  <c r="AV12" i="1" s="1"/>
  <c r="L12" i="1"/>
  <c r="AP11" i="1"/>
  <c r="AX11" i="1" s="1"/>
  <c r="L11" i="1"/>
  <c r="AP10" i="1"/>
  <c r="L10" i="1"/>
  <c r="AP9" i="1"/>
  <c r="AV9" i="1" s="1"/>
  <c r="L9" i="1"/>
  <c r="AP8" i="1"/>
  <c r="AW8" i="1" s="1"/>
  <c r="L8" i="1"/>
  <c r="AP7" i="1"/>
  <c r="AX7" i="1" s="1"/>
  <c r="L7" i="1"/>
  <c r="AP6" i="1"/>
  <c r="L6" i="1"/>
  <c r="AP5" i="1"/>
  <c r="AV5" i="1" s="1"/>
  <c r="L5" i="1"/>
  <c r="BF2" i="1"/>
  <c r="BF1" i="1"/>
  <c r="AT39" i="1" l="1"/>
  <c r="AT205" i="1"/>
  <c r="AQ202" i="1"/>
  <c r="AT67" i="1"/>
  <c r="AV64" i="1"/>
  <c r="AT169" i="1"/>
  <c r="AW202" i="1"/>
  <c r="AQ64" i="1"/>
  <c r="AQ67" i="1"/>
  <c r="AQ15" i="1"/>
  <c r="AW195" i="1"/>
  <c r="AU31" i="1"/>
  <c r="AV44" i="1"/>
  <c r="AU79" i="1"/>
  <c r="AQ80" i="1"/>
  <c r="AU81" i="1"/>
  <c r="AU82" i="1"/>
  <c r="AU99" i="1"/>
  <c r="AX108" i="1"/>
  <c r="AQ55" i="1"/>
  <c r="AU115" i="1"/>
  <c r="AW79" i="1"/>
  <c r="AW80" i="1"/>
  <c r="AV81" i="1"/>
  <c r="AV82" i="1"/>
  <c r="AU107" i="1"/>
  <c r="AW153" i="1"/>
  <c r="AU87" i="1"/>
  <c r="AQ101" i="1"/>
  <c r="AQ130" i="1"/>
  <c r="AQ21" i="1"/>
  <c r="AV37" i="1"/>
  <c r="AQ59" i="1"/>
  <c r="AT60" i="1"/>
  <c r="AW75" i="1"/>
  <c r="AV86" i="1"/>
  <c r="AQ89" i="1"/>
  <c r="AU101" i="1"/>
  <c r="AT104" i="1"/>
  <c r="AQ107" i="1"/>
  <c r="AW149" i="1"/>
  <c r="AU163" i="1"/>
  <c r="AW171" i="1"/>
  <c r="AW182" i="1"/>
  <c r="AQ191" i="1"/>
  <c r="AQ19" i="1"/>
  <c r="AV24" i="1"/>
  <c r="AU35" i="1"/>
  <c r="AV38" i="1"/>
  <c r="AT185" i="1"/>
  <c r="AQ211" i="1"/>
  <c r="AU11" i="1"/>
  <c r="AV40" i="1"/>
  <c r="AV58" i="1"/>
  <c r="AT59" i="1"/>
  <c r="AU106" i="1"/>
  <c r="AT107" i="1"/>
  <c r="AT108" i="1"/>
  <c r="AQ115" i="1"/>
  <c r="AW116" i="1"/>
  <c r="AT140" i="1"/>
  <c r="AQ153" i="1"/>
  <c r="AT156" i="1"/>
  <c r="AU165" i="1"/>
  <c r="AW170" i="1"/>
  <c r="AW175" i="1"/>
  <c r="AU193" i="1"/>
  <c r="AQ198" i="1"/>
  <c r="AT15" i="1"/>
  <c r="AU17" i="1"/>
  <c r="AV18" i="1"/>
  <c r="AT19" i="1"/>
  <c r="AU21" i="1"/>
  <c r="AV33" i="1"/>
  <c r="AX39" i="1"/>
  <c r="AT42" i="1"/>
  <c r="AV54" i="1"/>
  <c r="AT55" i="1"/>
  <c r="AX59" i="1"/>
  <c r="AQ63" i="1"/>
  <c r="AX67" i="1"/>
  <c r="AW89" i="1"/>
  <c r="AQ92" i="1"/>
  <c r="AW99" i="1"/>
  <c r="AV104" i="1"/>
  <c r="AX107" i="1"/>
  <c r="AV108" i="1"/>
  <c r="AQ113" i="1"/>
  <c r="AT115" i="1"/>
  <c r="AQ125" i="1"/>
  <c r="AU140" i="1"/>
  <c r="AQ141" i="1"/>
  <c r="AV142" i="1"/>
  <c r="AT145" i="1"/>
  <c r="AU151" i="1"/>
  <c r="AU155" i="1"/>
  <c r="AU156" i="1"/>
  <c r="AQ157" i="1"/>
  <c r="AU169" i="1"/>
  <c r="AU173" i="1"/>
  <c r="AQ178" i="1"/>
  <c r="AQ181" i="1"/>
  <c r="AU185" i="1"/>
  <c r="AT186" i="1"/>
  <c r="AT189" i="1"/>
  <c r="AW190" i="1"/>
  <c r="AW191" i="1"/>
  <c r="AT198" i="1"/>
  <c r="AU205" i="1"/>
  <c r="AT206" i="1"/>
  <c r="AT209" i="1"/>
  <c r="AW210" i="1"/>
  <c r="AW211" i="1"/>
  <c r="AU9" i="1"/>
  <c r="AU15" i="1"/>
  <c r="AV16" i="1"/>
  <c r="AU19" i="1"/>
  <c r="AU42" i="1"/>
  <c r="AQ48" i="1"/>
  <c r="AV53" i="1"/>
  <c r="AU55" i="1"/>
  <c r="AT58" i="1"/>
  <c r="AT63" i="1"/>
  <c r="AU71" i="1"/>
  <c r="AT86" i="1"/>
  <c r="AT87" i="1"/>
  <c r="AT92" i="1"/>
  <c r="AU113" i="1"/>
  <c r="AT125" i="1"/>
  <c r="AQ133" i="1"/>
  <c r="AX140" i="1"/>
  <c r="AW142" i="1"/>
  <c r="AW145" i="1"/>
  <c r="AX156" i="1"/>
  <c r="AT157" i="1"/>
  <c r="AU160" i="1"/>
  <c r="AQ161" i="1"/>
  <c r="AT165" i="1"/>
  <c r="AT178" i="1"/>
  <c r="AT181" i="1"/>
  <c r="AX185" i="1"/>
  <c r="AW186" i="1"/>
  <c r="AU189" i="1"/>
  <c r="AX205" i="1"/>
  <c r="AW206" i="1"/>
  <c r="AU209" i="1"/>
  <c r="AX181" i="1"/>
  <c r="AX15" i="1"/>
  <c r="AX19" i="1"/>
  <c r="AU27" i="1"/>
  <c r="AU37" i="1"/>
  <c r="AQ39" i="1"/>
  <c r="AT48" i="1"/>
  <c r="AX55" i="1"/>
  <c r="AX63" i="1"/>
  <c r="AT64" i="1"/>
  <c r="AW71" i="1"/>
  <c r="AT76" i="1"/>
  <c r="AX92" i="1"/>
  <c r="AX115" i="1"/>
  <c r="AW125" i="1"/>
  <c r="AT133" i="1"/>
  <c r="AT149" i="1"/>
  <c r="AT153" i="1"/>
  <c r="AU159" i="1"/>
  <c r="AX160" i="1"/>
  <c r="AT161" i="1"/>
  <c r="AU164" i="1"/>
  <c r="AQ171" i="1"/>
  <c r="AU181" i="1"/>
  <c r="AT182" i="1"/>
  <c r="AQ185" i="1"/>
  <c r="AT202" i="1"/>
  <c r="AQ205" i="1"/>
  <c r="AW5" i="1"/>
  <c r="AW47" i="1"/>
  <c r="AT8" i="1"/>
  <c r="AW9" i="1"/>
  <c r="AU22" i="1"/>
  <c r="AT28" i="1"/>
  <c r="AW31" i="1"/>
  <c r="AQ32" i="1"/>
  <c r="AW35" i="1"/>
  <c r="AX43" i="1"/>
  <c r="AQ47" i="1"/>
  <c r="AU65" i="1"/>
  <c r="AQ83" i="1"/>
  <c r="AU85" i="1"/>
  <c r="AV88" i="1"/>
  <c r="AV91" i="1"/>
  <c r="AT91" i="1"/>
  <c r="AX91" i="1"/>
  <c r="AV95" i="1"/>
  <c r="AT95" i="1"/>
  <c r="AX95" i="1"/>
  <c r="AV103" i="1"/>
  <c r="AT103" i="1"/>
  <c r="AX103" i="1"/>
  <c r="AV109" i="1"/>
  <c r="AT110" i="1"/>
  <c r="AQ111" i="1"/>
  <c r="AT118" i="1"/>
  <c r="AQ119" i="1"/>
  <c r="AQ124" i="1"/>
  <c r="AT128" i="1"/>
  <c r="AV129" i="1"/>
  <c r="AT129" i="1"/>
  <c r="AW132" i="1"/>
  <c r="AQ132" i="1"/>
  <c r="AW144" i="1"/>
  <c r="AU144" i="1"/>
  <c r="AT144" i="1"/>
  <c r="AV174" i="1"/>
  <c r="AW174" i="1"/>
  <c r="AT174" i="1"/>
  <c r="AQ174" i="1"/>
  <c r="AV177" i="1"/>
  <c r="AU177" i="1"/>
  <c r="AT177" i="1"/>
  <c r="AX177" i="1"/>
  <c r="AQ177" i="1"/>
  <c r="AV207" i="1"/>
  <c r="AW207" i="1"/>
  <c r="AQ207" i="1"/>
  <c r="AW43" i="1"/>
  <c r="AQ5" i="1"/>
  <c r="AX5" i="1"/>
  <c r="AQ23" i="1"/>
  <c r="AX23" i="1"/>
  <c r="AX47" i="1"/>
  <c r="AQ51" i="1"/>
  <c r="AT5" i="1"/>
  <c r="AU7" i="1"/>
  <c r="AU8" i="1"/>
  <c r="AQ9" i="1"/>
  <c r="AX9" i="1"/>
  <c r="AT12" i="1"/>
  <c r="AV13" i="1"/>
  <c r="AW15" i="1"/>
  <c r="AQ16" i="1"/>
  <c r="AW19" i="1"/>
  <c r="AT23" i="1"/>
  <c r="AU26" i="1"/>
  <c r="AQ27" i="1"/>
  <c r="AX27" i="1"/>
  <c r="AQ31" i="1"/>
  <c r="AX31" i="1"/>
  <c r="AT32" i="1"/>
  <c r="AQ35" i="1"/>
  <c r="AX35" i="1"/>
  <c r="AU39" i="1"/>
  <c r="AT43" i="1"/>
  <c r="AT47" i="1"/>
  <c r="AV48" i="1"/>
  <c r="AU49" i="1"/>
  <c r="AT51" i="1"/>
  <c r="AQ53" i="1"/>
  <c r="AW55" i="1"/>
  <c r="AV56" i="1"/>
  <c r="AU59" i="1"/>
  <c r="AU63" i="1"/>
  <c r="AU67" i="1"/>
  <c r="AU69" i="1"/>
  <c r="AU70" i="1"/>
  <c r="AQ71" i="1"/>
  <c r="AX71" i="1"/>
  <c r="AT74" i="1"/>
  <c r="AV79" i="1"/>
  <c r="AX79" i="1"/>
  <c r="AQ79" i="1"/>
  <c r="AT83" i="1"/>
  <c r="AQ91" i="1"/>
  <c r="AQ95" i="1"/>
  <c r="AU97" i="1"/>
  <c r="AW100" i="1"/>
  <c r="AT102" i="1"/>
  <c r="AQ103" i="1"/>
  <c r="AV110" i="1"/>
  <c r="AU111" i="1"/>
  <c r="AU118" i="1"/>
  <c r="AU119" i="1"/>
  <c r="AT124" i="1"/>
  <c r="AU128" i="1"/>
  <c r="AQ129" i="1"/>
  <c r="AT132" i="1"/>
  <c r="AV134" i="1"/>
  <c r="AQ134" i="1"/>
  <c r="AV137" i="1"/>
  <c r="AT137" i="1"/>
  <c r="AQ137" i="1"/>
  <c r="AX144" i="1"/>
  <c r="AX174" i="1"/>
  <c r="AW177" i="1"/>
  <c r="AV183" i="1"/>
  <c r="AW183" i="1"/>
  <c r="AQ183" i="1"/>
  <c r="AW23" i="1"/>
  <c r="AX32" i="1"/>
  <c r="AX16" i="1"/>
  <c r="AT26" i="1"/>
  <c r="AW27" i="1"/>
  <c r="AQ43" i="1"/>
  <c r="AX51" i="1"/>
  <c r="AQ69" i="1"/>
  <c r="AV72" i="1"/>
  <c r="AV75" i="1"/>
  <c r="AX75" i="1"/>
  <c r="AQ75" i="1"/>
  <c r="AU5" i="1"/>
  <c r="AX8" i="1"/>
  <c r="AT9" i="1"/>
  <c r="AU23" i="1"/>
  <c r="AT27" i="1"/>
  <c r="AT31" i="1"/>
  <c r="AT35" i="1"/>
  <c r="AW39" i="1"/>
  <c r="AU43" i="1"/>
  <c r="AU47" i="1"/>
  <c r="AU51" i="1"/>
  <c r="AW59" i="1"/>
  <c r="AW63" i="1"/>
  <c r="AW67" i="1"/>
  <c r="AT71" i="1"/>
  <c r="AV74" i="1"/>
  <c r="AU75" i="1"/>
  <c r="AV87" i="1"/>
  <c r="AX87" i="1"/>
  <c r="AQ87" i="1"/>
  <c r="AT90" i="1"/>
  <c r="AX90" i="1"/>
  <c r="AU91" i="1"/>
  <c r="AV94" i="1"/>
  <c r="AU95" i="1"/>
  <c r="AV97" i="1"/>
  <c r="AV99" i="1"/>
  <c r="AT99" i="1"/>
  <c r="AX99" i="1"/>
  <c r="AU102" i="1"/>
  <c r="AU103" i="1"/>
  <c r="AW112" i="1"/>
  <c r="AX114" i="1"/>
  <c r="AQ122" i="1"/>
  <c r="AW129" i="1"/>
  <c r="AU132" i="1"/>
  <c r="AW134" i="1"/>
  <c r="AW136" i="1"/>
  <c r="AX136" i="1"/>
  <c r="AU136" i="1"/>
  <c r="AW137" i="1"/>
  <c r="AV141" i="1"/>
  <c r="AW141" i="1"/>
  <c r="AT141" i="1"/>
  <c r="AV201" i="1"/>
  <c r="AU201" i="1"/>
  <c r="AT201" i="1"/>
  <c r="AX201" i="1"/>
  <c r="AQ201" i="1"/>
  <c r="AW51" i="1"/>
  <c r="AV83" i="1"/>
  <c r="AU83" i="1"/>
  <c r="AX83" i="1"/>
  <c r="AV111" i="1"/>
  <c r="AT111" i="1"/>
  <c r="AX111" i="1"/>
  <c r="AV119" i="1"/>
  <c r="AT119" i="1"/>
  <c r="AX119" i="1"/>
  <c r="AV124" i="1"/>
  <c r="AU124" i="1"/>
  <c r="AX124" i="1"/>
  <c r="AV128" i="1"/>
  <c r="AX128" i="1"/>
  <c r="AQ128" i="1"/>
  <c r="AW148" i="1"/>
  <c r="AU148" i="1"/>
  <c r="AT148" i="1"/>
  <c r="AW152" i="1"/>
  <c r="AU152" i="1"/>
  <c r="AT152" i="1"/>
  <c r="AV187" i="1"/>
  <c r="AW187" i="1"/>
  <c r="AQ187" i="1"/>
  <c r="AV194" i="1"/>
  <c r="AW194" i="1"/>
  <c r="AT194" i="1"/>
  <c r="AQ194" i="1"/>
  <c r="AV197" i="1"/>
  <c r="AU197" i="1"/>
  <c r="AT197" i="1"/>
  <c r="AX197" i="1"/>
  <c r="AQ197" i="1"/>
  <c r="AW201" i="1"/>
  <c r="AX170" i="1"/>
  <c r="AW173" i="1"/>
  <c r="AX190" i="1"/>
  <c r="AW193" i="1"/>
  <c r="AX210" i="1"/>
  <c r="AW107" i="1"/>
  <c r="AW115" i="1"/>
  <c r="AX125" i="1"/>
  <c r="AW133" i="1"/>
  <c r="AX145" i="1"/>
  <c r="AX149" i="1"/>
  <c r="AX153" i="1"/>
  <c r="AW157" i="1"/>
  <c r="AW161" i="1"/>
  <c r="AW165" i="1"/>
  <c r="AT166" i="1"/>
  <c r="AW169" i="1"/>
  <c r="AQ170" i="1"/>
  <c r="AQ173" i="1"/>
  <c r="AX173" i="1"/>
  <c r="AW178" i="1"/>
  <c r="AQ179" i="1"/>
  <c r="AX182" i="1"/>
  <c r="AX186" i="1"/>
  <c r="AW189" i="1"/>
  <c r="AQ190" i="1"/>
  <c r="AQ193" i="1"/>
  <c r="AX193" i="1"/>
  <c r="AW198" i="1"/>
  <c r="AQ199" i="1"/>
  <c r="AQ203" i="1"/>
  <c r="AX206" i="1"/>
  <c r="AW209" i="1"/>
  <c r="AQ210" i="1"/>
  <c r="AX133" i="1"/>
  <c r="AQ145" i="1"/>
  <c r="AU147" i="1"/>
  <c r="AQ149" i="1"/>
  <c r="AX157" i="1"/>
  <c r="AT160" i="1"/>
  <c r="AX161" i="1"/>
  <c r="AT164" i="1"/>
  <c r="AQ165" i="1"/>
  <c r="AX165" i="1"/>
  <c r="AQ169" i="1"/>
  <c r="AX169" i="1"/>
  <c r="AT170" i="1"/>
  <c r="AT173" i="1"/>
  <c r="AQ175" i="1"/>
  <c r="AX178" i="1"/>
  <c r="AW179" i="1"/>
  <c r="AW181" i="1"/>
  <c r="AQ182" i="1"/>
  <c r="AW185" i="1"/>
  <c r="AQ186" i="1"/>
  <c r="AQ189" i="1"/>
  <c r="AX189" i="1"/>
  <c r="AT190" i="1"/>
  <c r="AT193" i="1"/>
  <c r="AQ195" i="1"/>
  <c r="AX198" i="1"/>
  <c r="AW199" i="1"/>
  <c r="AX202" i="1"/>
  <c r="AW203" i="1"/>
  <c r="AW205" i="1"/>
  <c r="AQ206" i="1"/>
  <c r="AQ209" i="1"/>
  <c r="AX209" i="1"/>
  <c r="AT210" i="1"/>
  <c r="AV6" i="1"/>
  <c r="AV10" i="1"/>
  <c r="AW14" i="1"/>
  <c r="AQ14" i="1"/>
  <c r="AX25" i="1"/>
  <c r="AT25" i="1"/>
  <c r="AX30" i="1"/>
  <c r="AU36" i="1"/>
  <c r="AW36" i="1"/>
  <c r="AW46" i="1"/>
  <c r="AQ46" i="1"/>
  <c r="AU52" i="1"/>
  <c r="AW52" i="1"/>
  <c r="AW57" i="1"/>
  <c r="AX62" i="1"/>
  <c r="AU68" i="1"/>
  <c r="AW68" i="1"/>
  <c r="AX73" i="1"/>
  <c r="AT73" i="1"/>
  <c r="AW73" i="1"/>
  <c r="AX78" i="1"/>
  <c r="AX84" i="1"/>
  <c r="AU96" i="1"/>
  <c r="AV96" i="1"/>
  <c r="AX105" i="1"/>
  <c r="AT105" i="1"/>
  <c r="AU105" i="1"/>
  <c r="AU126" i="1"/>
  <c r="AX126" i="1"/>
  <c r="AT126" i="1"/>
  <c r="AW126" i="1"/>
  <c r="AV126" i="1"/>
  <c r="AX143" i="1"/>
  <c r="AT143" i="1"/>
  <c r="AW143" i="1"/>
  <c r="AQ143" i="1"/>
  <c r="AU143" i="1"/>
  <c r="AQ6" i="1"/>
  <c r="AW6" i="1"/>
  <c r="AQ10" i="1"/>
  <c r="AW10" i="1"/>
  <c r="AV11" i="1"/>
  <c r="AT14" i="1"/>
  <c r="AX18" i="1"/>
  <c r="AX20" i="1"/>
  <c r="AW24" i="1"/>
  <c r="AX29" i="1"/>
  <c r="AT29" i="1"/>
  <c r="AT30" i="1"/>
  <c r="AW34" i="1"/>
  <c r="AQ34" i="1"/>
  <c r="AX36" i="1"/>
  <c r="AW40" i="1"/>
  <c r="AX45" i="1"/>
  <c r="AT45" i="1"/>
  <c r="AT46" i="1"/>
  <c r="AX50" i="1"/>
  <c r="AQ52" i="1"/>
  <c r="AW56" i="1"/>
  <c r="AX61" i="1"/>
  <c r="AT61" i="1"/>
  <c r="AT62" i="1"/>
  <c r="AX66" i="1"/>
  <c r="AQ68" i="1"/>
  <c r="AW72" i="1"/>
  <c r="AX77" i="1"/>
  <c r="AT77" i="1"/>
  <c r="AT78" i="1"/>
  <c r="AQ84" i="1"/>
  <c r="AX93" i="1"/>
  <c r="AT93" i="1"/>
  <c r="AQ93" i="1"/>
  <c r="AU98" i="1"/>
  <c r="AQ105" i="1"/>
  <c r="AX112" i="1"/>
  <c r="AU121" i="1"/>
  <c r="AT121" i="1"/>
  <c r="AV121" i="1"/>
  <c r="AV143" i="1"/>
  <c r="AU150" i="1"/>
  <c r="AX150" i="1"/>
  <c r="AT150" i="1"/>
  <c r="AW150" i="1"/>
  <c r="AQ150" i="1"/>
  <c r="AU162" i="1"/>
  <c r="AX162" i="1"/>
  <c r="AT162" i="1"/>
  <c r="AW162" i="1"/>
  <c r="AQ162" i="1"/>
  <c r="AU172" i="1"/>
  <c r="AX172" i="1"/>
  <c r="AT172" i="1"/>
  <c r="AW172" i="1"/>
  <c r="AQ172" i="1"/>
  <c r="AV172" i="1"/>
  <c r="AT6" i="1"/>
  <c r="AT10" i="1"/>
  <c r="AU12" i="1"/>
  <c r="AX17" i="1"/>
  <c r="AT17" i="1"/>
  <c r="AW22" i="1"/>
  <c r="AQ22" i="1"/>
  <c r="AU25" i="1"/>
  <c r="AU28" i="1"/>
  <c r="AW28" i="1"/>
  <c r="AX33" i="1"/>
  <c r="AT33" i="1"/>
  <c r="AW33" i="1"/>
  <c r="AT34" i="1"/>
  <c r="AT36" i="1"/>
  <c r="AW38" i="1"/>
  <c r="AQ38" i="1"/>
  <c r="AX38" i="1"/>
  <c r="AQ40" i="1"/>
  <c r="AU44" i="1"/>
  <c r="AW44" i="1"/>
  <c r="AQ45" i="1"/>
  <c r="AU46" i="1"/>
  <c r="AX49" i="1"/>
  <c r="AT49" i="1"/>
  <c r="AW49" i="1"/>
  <c r="AT50" i="1"/>
  <c r="AT52" i="1"/>
  <c r="AW54" i="1"/>
  <c r="AQ54" i="1"/>
  <c r="AX54" i="1"/>
  <c r="AQ56" i="1"/>
  <c r="AU60" i="1"/>
  <c r="AW60" i="1"/>
  <c r="AQ61" i="1"/>
  <c r="AX65" i="1"/>
  <c r="AT65" i="1"/>
  <c r="AW65" i="1"/>
  <c r="AT66" i="1"/>
  <c r="AT68" i="1"/>
  <c r="AW70" i="1"/>
  <c r="AQ70" i="1"/>
  <c r="AX70" i="1"/>
  <c r="AQ72" i="1"/>
  <c r="AU73" i="1"/>
  <c r="AU76" i="1"/>
  <c r="AW76" i="1"/>
  <c r="AQ77" i="1"/>
  <c r="AX85" i="1"/>
  <c r="AT85" i="1"/>
  <c r="AV85" i="1"/>
  <c r="AU88" i="1"/>
  <c r="AX88" i="1"/>
  <c r="AQ88" i="1"/>
  <c r="AU93" i="1"/>
  <c r="AW94" i="1"/>
  <c r="AQ94" i="1"/>
  <c r="AU94" i="1"/>
  <c r="AT96" i="1"/>
  <c r="AV105" i="1"/>
  <c r="AW106" i="1"/>
  <c r="AQ106" i="1"/>
  <c r="AV106" i="1"/>
  <c r="AX109" i="1"/>
  <c r="AT109" i="1"/>
  <c r="AQ109" i="1"/>
  <c r="AU116" i="1"/>
  <c r="AT116" i="1"/>
  <c r="AX116" i="1"/>
  <c r="AQ121" i="1"/>
  <c r="AX135" i="1"/>
  <c r="AT135" i="1"/>
  <c r="AW135" i="1"/>
  <c r="AQ135" i="1"/>
  <c r="AV135" i="1"/>
  <c r="AV150" i="1"/>
  <c r="AV162" i="1"/>
  <c r="AX14" i="1"/>
  <c r="AU20" i="1"/>
  <c r="AW20" i="1"/>
  <c r="AW25" i="1"/>
  <c r="AW30" i="1"/>
  <c r="AQ30" i="1"/>
  <c r="AX41" i="1"/>
  <c r="AT41" i="1"/>
  <c r="AW41" i="1"/>
  <c r="AX46" i="1"/>
  <c r="AX57" i="1"/>
  <c r="AT57" i="1"/>
  <c r="AW62" i="1"/>
  <c r="AQ62" i="1"/>
  <c r="AW78" i="1"/>
  <c r="AQ78" i="1"/>
  <c r="AU84" i="1"/>
  <c r="AT84" i="1"/>
  <c r="AX96" i="1"/>
  <c r="AW98" i="1"/>
  <c r="AQ98" i="1"/>
  <c r="AT98" i="1"/>
  <c r="AX117" i="1"/>
  <c r="AT117" i="1"/>
  <c r="AV117" i="1"/>
  <c r="AU120" i="1"/>
  <c r="AX120" i="1"/>
  <c r="AQ120" i="1"/>
  <c r="AX139" i="1"/>
  <c r="AT139" i="1"/>
  <c r="AW139" i="1"/>
  <c r="AQ139" i="1"/>
  <c r="AU139" i="1"/>
  <c r="AX168" i="1"/>
  <c r="AW168" i="1"/>
  <c r="AQ168" i="1"/>
  <c r="AV168" i="1"/>
  <c r="AU168" i="1"/>
  <c r="AT168" i="1"/>
  <c r="AV7" i="1"/>
  <c r="AX13" i="1"/>
  <c r="AT13" i="1"/>
  <c r="AW13" i="1"/>
  <c r="AW18" i="1"/>
  <c r="AQ18" i="1"/>
  <c r="AQ20" i="1"/>
  <c r="AU24" i="1"/>
  <c r="AQ25" i="1"/>
  <c r="AW29" i="1"/>
  <c r="AX34" i="1"/>
  <c r="AQ36" i="1"/>
  <c r="AU40" i="1"/>
  <c r="AQ41" i="1"/>
  <c r="AW45" i="1"/>
  <c r="AW50" i="1"/>
  <c r="AQ50" i="1"/>
  <c r="AX52" i="1"/>
  <c r="AU56" i="1"/>
  <c r="AQ57" i="1"/>
  <c r="AW61" i="1"/>
  <c r="AW66" i="1"/>
  <c r="AQ66" i="1"/>
  <c r="AX68" i="1"/>
  <c r="AU72" i="1"/>
  <c r="AQ73" i="1"/>
  <c r="AW77" i="1"/>
  <c r="AW90" i="1"/>
  <c r="AQ90" i="1"/>
  <c r="AV90" i="1"/>
  <c r="AQ96" i="1"/>
  <c r="AU100" i="1"/>
  <c r="AT100" i="1"/>
  <c r="AX100" i="1"/>
  <c r="AU112" i="1"/>
  <c r="AV112" i="1"/>
  <c r="AW114" i="1"/>
  <c r="AQ114" i="1"/>
  <c r="AT114" i="1"/>
  <c r="AQ117" i="1"/>
  <c r="AT120" i="1"/>
  <c r="AQ126" i="1"/>
  <c r="AU138" i="1"/>
  <c r="AX138" i="1"/>
  <c r="AT138" i="1"/>
  <c r="AV138" i="1"/>
  <c r="AW138" i="1"/>
  <c r="AX6" i="1"/>
  <c r="AQ7" i="1"/>
  <c r="AW7" i="1"/>
  <c r="AV8" i="1"/>
  <c r="AX10" i="1"/>
  <c r="AQ11" i="1"/>
  <c r="AW11" i="1"/>
  <c r="AW12" i="1"/>
  <c r="AU14" i="1"/>
  <c r="AW17" i="1"/>
  <c r="AX22" i="1"/>
  <c r="AQ24" i="1"/>
  <c r="AQ29" i="1"/>
  <c r="AU6" i="1"/>
  <c r="AT7" i="1"/>
  <c r="AQ8" i="1"/>
  <c r="AU10" i="1"/>
  <c r="AT11" i="1"/>
  <c r="AQ12" i="1"/>
  <c r="AX12" i="1"/>
  <c r="AU13" i="1"/>
  <c r="AV14" i="1"/>
  <c r="AU16" i="1"/>
  <c r="AW16" i="1"/>
  <c r="AQ17" i="1"/>
  <c r="AU18" i="1"/>
  <c r="AV20" i="1"/>
  <c r="AX21" i="1"/>
  <c r="AT21" i="1"/>
  <c r="AW21" i="1"/>
  <c r="AT22" i="1"/>
  <c r="AT24" i="1"/>
  <c r="AV25" i="1"/>
  <c r="AW26" i="1"/>
  <c r="AQ26" i="1"/>
  <c r="AX26" i="1"/>
  <c r="AQ28" i="1"/>
  <c r="AX28" i="1"/>
  <c r="AU29" i="1"/>
  <c r="AV30" i="1"/>
  <c r="AU32" i="1"/>
  <c r="AW32" i="1"/>
  <c r="AQ33" i="1"/>
  <c r="AU34" i="1"/>
  <c r="AV36" i="1"/>
  <c r="AX37" i="1"/>
  <c r="AT37" i="1"/>
  <c r="AW37" i="1"/>
  <c r="AT38" i="1"/>
  <c r="AT40" i="1"/>
  <c r="AV41" i="1"/>
  <c r="AW42" i="1"/>
  <c r="AQ42" i="1"/>
  <c r="AX42" i="1"/>
  <c r="AQ44" i="1"/>
  <c r="AX44" i="1"/>
  <c r="AU45" i="1"/>
  <c r="AV46" i="1"/>
  <c r="AU48" i="1"/>
  <c r="AW48" i="1"/>
  <c r="AQ49" i="1"/>
  <c r="AU50" i="1"/>
  <c r="AV52" i="1"/>
  <c r="AX53" i="1"/>
  <c r="AT53" i="1"/>
  <c r="AW53" i="1"/>
  <c r="AT54" i="1"/>
  <c r="AT56" i="1"/>
  <c r="AV57" i="1"/>
  <c r="AW58" i="1"/>
  <c r="AQ58" i="1"/>
  <c r="AX58" i="1"/>
  <c r="AQ60" i="1"/>
  <c r="AX60" i="1"/>
  <c r="AU61" i="1"/>
  <c r="AV62" i="1"/>
  <c r="AU64" i="1"/>
  <c r="AW64" i="1"/>
  <c r="AQ65" i="1"/>
  <c r="AU66" i="1"/>
  <c r="AV68" i="1"/>
  <c r="AX69" i="1"/>
  <c r="AT69" i="1"/>
  <c r="AW69" i="1"/>
  <c r="AT70" i="1"/>
  <c r="AT72" i="1"/>
  <c r="AV73" i="1"/>
  <c r="AW74" i="1"/>
  <c r="AQ74" i="1"/>
  <c r="AX74" i="1"/>
  <c r="AQ76" i="1"/>
  <c r="AX76" i="1"/>
  <c r="AU77" i="1"/>
  <c r="AV78" i="1"/>
  <c r="AU80" i="1"/>
  <c r="AV80" i="1"/>
  <c r="AX80" i="1"/>
  <c r="AW82" i="1"/>
  <c r="AQ82" i="1"/>
  <c r="AT82" i="1"/>
  <c r="AW84" i="1"/>
  <c r="AQ85" i="1"/>
  <c r="AT88" i="1"/>
  <c r="AX89" i="1"/>
  <c r="AT89" i="1"/>
  <c r="AU89" i="1"/>
  <c r="AU90" i="1"/>
  <c r="AV93" i="1"/>
  <c r="AT94" i="1"/>
  <c r="AW96" i="1"/>
  <c r="AX98" i="1"/>
  <c r="AV100" i="1"/>
  <c r="AX101" i="1"/>
  <c r="AT101" i="1"/>
  <c r="AV101" i="1"/>
  <c r="AU104" i="1"/>
  <c r="AX104" i="1"/>
  <c r="AQ104" i="1"/>
  <c r="AW105" i="1"/>
  <c r="AT106" i="1"/>
  <c r="AU109" i="1"/>
  <c r="AW110" i="1"/>
  <c r="AQ110" i="1"/>
  <c r="AU110" i="1"/>
  <c r="AT112" i="1"/>
  <c r="AV114" i="1"/>
  <c r="AQ116" i="1"/>
  <c r="AW117" i="1"/>
  <c r="AW120" i="1"/>
  <c r="AW121" i="1"/>
  <c r="AX127" i="1"/>
  <c r="AT127" i="1"/>
  <c r="AW127" i="1"/>
  <c r="AQ127" i="1"/>
  <c r="AV127" i="1"/>
  <c r="AU135" i="1"/>
  <c r="AU146" i="1"/>
  <c r="AX146" i="1"/>
  <c r="AT146" i="1"/>
  <c r="AW146" i="1"/>
  <c r="AQ146" i="1"/>
  <c r="AV146" i="1"/>
  <c r="AU188" i="1"/>
  <c r="AX188" i="1"/>
  <c r="AT188" i="1"/>
  <c r="AW188" i="1"/>
  <c r="AQ188" i="1"/>
  <c r="AV188" i="1"/>
  <c r="AX81" i="1"/>
  <c r="AT81" i="1"/>
  <c r="AW81" i="1"/>
  <c r="AW86" i="1"/>
  <c r="AQ86" i="1"/>
  <c r="AX86" i="1"/>
  <c r="AU92" i="1"/>
  <c r="AW92" i="1"/>
  <c r="AX97" i="1"/>
  <c r="AT97" i="1"/>
  <c r="AW97" i="1"/>
  <c r="AW102" i="1"/>
  <c r="AQ102" i="1"/>
  <c r="AX102" i="1"/>
  <c r="AU108" i="1"/>
  <c r="AW108" i="1"/>
  <c r="AX113" i="1"/>
  <c r="AT113" i="1"/>
  <c r="AW113" i="1"/>
  <c r="AW118" i="1"/>
  <c r="AQ118" i="1"/>
  <c r="AX118" i="1"/>
  <c r="AU122" i="1"/>
  <c r="AX122" i="1"/>
  <c r="AT122" i="1"/>
  <c r="AW122" i="1"/>
  <c r="AX123" i="1"/>
  <c r="AT123" i="1"/>
  <c r="AW123" i="1"/>
  <c r="AQ123" i="1"/>
  <c r="AV123" i="1"/>
  <c r="AU130" i="1"/>
  <c r="AX130" i="1"/>
  <c r="AT130" i="1"/>
  <c r="AW130" i="1"/>
  <c r="AX131" i="1"/>
  <c r="AT131" i="1"/>
  <c r="AW131" i="1"/>
  <c r="AQ131" i="1"/>
  <c r="AV131" i="1"/>
  <c r="AU158" i="1"/>
  <c r="AX158" i="1"/>
  <c r="AT158" i="1"/>
  <c r="AW158" i="1"/>
  <c r="AQ158" i="1"/>
  <c r="AV158" i="1"/>
  <c r="AU134" i="1"/>
  <c r="AX134" i="1"/>
  <c r="AT134" i="1"/>
  <c r="AU142" i="1"/>
  <c r="AX142" i="1"/>
  <c r="AT142" i="1"/>
  <c r="AU154" i="1"/>
  <c r="AX154" i="1"/>
  <c r="AT154" i="1"/>
  <c r="AW154" i="1"/>
  <c r="AQ154" i="1"/>
  <c r="AU204" i="1"/>
  <c r="AX204" i="1"/>
  <c r="AT204" i="1"/>
  <c r="AW204" i="1"/>
  <c r="AQ204" i="1"/>
  <c r="AV204" i="1"/>
  <c r="AV147" i="1"/>
  <c r="AV151" i="1"/>
  <c r="AV155" i="1"/>
  <c r="AV159" i="1"/>
  <c r="AV163" i="1"/>
  <c r="AX167" i="1"/>
  <c r="AT167" i="1"/>
  <c r="AW167" i="1"/>
  <c r="AU176" i="1"/>
  <c r="AX176" i="1"/>
  <c r="AT176" i="1"/>
  <c r="AW176" i="1"/>
  <c r="AQ176" i="1"/>
  <c r="AU192" i="1"/>
  <c r="AX192" i="1"/>
  <c r="AT192" i="1"/>
  <c r="AW192" i="1"/>
  <c r="AQ192" i="1"/>
  <c r="AU208" i="1"/>
  <c r="AX208" i="1"/>
  <c r="AT208" i="1"/>
  <c r="AW208" i="1"/>
  <c r="AQ208" i="1"/>
  <c r="AU125" i="1"/>
  <c r="AU129" i="1"/>
  <c r="AV132" i="1"/>
  <c r="AU133" i="1"/>
  <c r="AV136" i="1"/>
  <c r="AU137" i="1"/>
  <c r="AV140" i="1"/>
  <c r="AU141" i="1"/>
  <c r="AV144" i="1"/>
  <c r="AU145" i="1"/>
  <c r="AQ147" i="1"/>
  <c r="AW147" i="1"/>
  <c r="AV148" i="1"/>
  <c r="AU149" i="1"/>
  <c r="AQ151" i="1"/>
  <c r="AW151" i="1"/>
  <c r="AV152" i="1"/>
  <c r="AU153" i="1"/>
  <c r="AQ155" i="1"/>
  <c r="AW155" i="1"/>
  <c r="AV156" i="1"/>
  <c r="AU157" i="1"/>
  <c r="AQ159" i="1"/>
  <c r="AW159" i="1"/>
  <c r="AV160" i="1"/>
  <c r="AU161" i="1"/>
  <c r="AQ163" i="1"/>
  <c r="AW163" i="1"/>
  <c r="AV164" i="1"/>
  <c r="AU166" i="1"/>
  <c r="AW166" i="1"/>
  <c r="AQ167" i="1"/>
  <c r="AV176" i="1"/>
  <c r="AU180" i="1"/>
  <c r="AX180" i="1"/>
  <c r="AT180" i="1"/>
  <c r="AW180" i="1"/>
  <c r="AQ180" i="1"/>
  <c r="AV192" i="1"/>
  <c r="AU196" i="1"/>
  <c r="AX196" i="1"/>
  <c r="AT196" i="1"/>
  <c r="AW196" i="1"/>
  <c r="AQ196" i="1"/>
  <c r="AV208" i="1"/>
  <c r="AU212" i="1"/>
  <c r="AX212" i="1"/>
  <c r="AT212" i="1"/>
  <c r="AW212" i="1"/>
  <c r="AQ212" i="1"/>
  <c r="AQ136" i="1"/>
  <c r="AQ140" i="1"/>
  <c r="AQ144" i="1"/>
  <c r="AT147" i="1"/>
  <c r="AQ148" i="1"/>
  <c r="AT151" i="1"/>
  <c r="AQ152" i="1"/>
  <c r="AT155" i="1"/>
  <c r="AQ156" i="1"/>
  <c r="AT159" i="1"/>
  <c r="AQ160" i="1"/>
  <c r="AT163" i="1"/>
  <c r="AQ164" i="1"/>
  <c r="AX164" i="1"/>
  <c r="AQ166" i="1"/>
  <c r="AX166" i="1"/>
  <c r="AU167" i="1"/>
  <c r="AV180" i="1"/>
  <c r="AU184" i="1"/>
  <c r="AX184" i="1"/>
  <c r="AT184" i="1"/>
  <c r="AW184" i="1"/>
  <c r="AQ184" i="1"/>
  <c r="AV196" i="1"/>
  <c r="AU200" i="1"/>
  <c r="AX200" i="1"/>
  <c r="AT200" i="1"/>
  <c r="AW200" i="1"/>
  <c r="AQ200" i="1"/>
  <c r="AV212" i="1"/>
  <c r="AU170" i="1"/>
  <c r="AT171" i="1"/>
  <c r="AX171" i="1"/>
  <c r="AU174" i="1"/>
  <c r="AT175" i="1"/>
  <c r="AX175" i="1"/>
  <c r="AU178" i="1"/>
  <c r="AT179" i="1"/>
  <c r="AX179" i="1"/>
  <c r="AU182" i="1"/>
  <c r="AT183" i="1"/>
  <c r="AX183" i="1"/>
  <c r="AU186" i="1"/>
  <c r="AT187" i="1"/>
  <c r="AX187" i="1"/>
  <c r="AU190" i="1"/>
  <c r="AT191" i="1"/>
  <c r="AX191" i="1"/>
  <c r="AU194" i="1"/>
  <c r="AT195" i="1"/>
  <c r="AX195" i="1"/>
  <c r="AU198" i="1"/>
  <c r="AT199" i="1"/>
  <c r="AX199" i="1"/>
  <c r="AU202" i="1"/>
  <c r="AT203" i="1"/>
  <c r="AX203" i="1"/>
  <c r="AU206" i="1"/>
  <c r="AT207" i="1"/>
  <c r="AX207" i="1"/>
  <c r="AU210" i="1"/>
  <c r="AT211" i="1"/>
  <c r="AX211" i="1"/>
  <c r="AU171" i="1"/>
  <c r="AU175" i="1"/>
  <c r="AU179" i="1"/>
  <c r="AU183" i="1"/>
  <c r="AU187" i="1"/>
  <c r="AU191" i="1"/>
  <c r="AU195" i="1"/>
  <c r="AU199" i="1"/>
  <c r="AU203" i="1"/>
  <c r="AU207" i="1"/>
  <c r="AU211" i="1"/>
</calcChain>
</file>

<file path=xl/sharedStrings.xml><?xml version="1.0" encoding="utf-8"?>
<sst xmlns="http://schemas.openxmlformats.org/spreadsheetml/2006/main" count="2893" uniqueCount="554">
  <si>
    <t>Avg milk yield (treated)</t>
  </si>
  <si>
    <t>Flow In and Out of Goat Farms</t>
  </si>
  <si>
    <t>Cattle</t>
  </si>
  <si>
    <t>Goat</t>
  </si>
  <si>
    <t>Pigs</t>
  </si>
  <si>
    <t>&lt;1 is 0.03</t>
  </si>
  <si>
    <t>Avg milk yield (control)</t>
  </si>
  <si>
    <t>No. of animals last year</t>
  </si>
  <si>
    <t>number of animals born</t>
  </si>
  <si>
    <t>No.s purchased</t>
  </si>
  <si>
    <t>No. of animals sold</t>
  </si>
  <si>
    <t>No.of animals died</t>
  </si>
  <si>
    <t>No. of animals slaughtered</t>
  </si>
  <si>
    <t>Commons=6</t>
  </si>
  <si>
    <t>Family Labour Employment Pattern in Goat Rearing</t>
  </si>
  <si>
    <t>Distributed Goats</t>
  </si>
  <si>
    <t>Calves</t>
  </si>
  <si>
    <t>Kids/Lambs</t>
  </si>
  <si>
    <t>Young</t>
  </si>
  <si>
    <t>Adults</t>
  </si>
  <si>
    <t>Piglets</t>
  </si>
  <si>
    <t>Poultry</t>
  </si>
  <si>
    <t>&gt;1 is 0.1</t>
  </si>
  <si>
    <t>Outcome Variable</t>
  </si>
  <si>
    <t>Male</t>
  </si>
  <si>
    <t>Female</t>
  </si>
  <si>
    <t>Gazing parameters</t>
  </si>
  <si>
    <t>Cutting grass &amp; bringing fodder</t>
  </si>
  <si>
    <t>Feeding</t>
  </si>
  <si>
    <t>Cleaning shed</t>
  </si>
  <si>
    <t>Cleaning/washing animals</t>
  </si>
  <si>
    <t>Selling animals</t>
  </si>
  <si>
    <t>Maintainence Cost of Animals (per annum)</t>
  </si>
  <si>
    <t>Institutional Profile</t>
  </si>
  <si>
    <t>Sl. No.</t>
  </si>
  <si>
    <t>Name of the Farmer</t>
  </si>
  <si>
    <t>Father / Husband Name</t>
  </si>
  <si>
    <t>Date of Distrib.</t>
  </si>
  <si>
    <t xml:space="preserve">No. of  Female Goat </t>
  </si>
  <si>
    <t xml:space="preserve">No. of  Male Goat </t>
  </si>
  <si>
    <t>Treatment Status</t>
  </si>
  <si>
    <t>Age</t>
  </si>
  <si>
    <t>Farm Experience</t>
  </si>
  <si>
    <t>Goat experience</t>
  </si>
  <si>
    <t>Education Level</t>
  </si>
  <si>
    <t>Education (encoded)</t>
  </si>
  <si>
    <t>Gender</t>
  </si>
  <si>
    <t>Principal Occup.</t>
  </si>
  <si>
    <t>Subsidiary Occup.</t>
  </si>
  <si>
    <t>NFI Source</t>
  </si>
  <si>
    <t>Social Group</t>
  </si>
  <si>
    <t>Dwelling Strct.</t>
  </si>
  <si>
    <t>Household size</t>
  </si>
  <si>
    <t>Landholding (ha)</t>
  </si>
  <si>
    <t>Milch</t>
  </si>
  <si>
    <t>Males</t>
  </si>
  <si>
    <t>Heifers</t>
  </si>
  <si>
    <t xml:space="preserve"> Male</t>
  </si>
  <si>
    <t xml:space="preserve"> Female</t>
  </si>
  <si>
    <t>Broilers</t>
  </si>
  <si>
    <t>Layers</t>
  </si>
  <si>
    <t>Ducks</t>
  </si>
  <si>
    <t>herd size</t>
  </si>
  <si>
    <t>SGU</t>
  </si>
  <si>
    <t>Kids %</t>
  </si>
  <si>
    <t>Young (M) %</t>
  </si>
  <si>
    <t>Young (F) %</t>
  </si>
  <si>
    <t>Adults (M)%</t>
  </si>
  <si>
    <t>Adults (F)%</t>
  </si>
  <si>
    <t>Total Females (K+Y+A) %</t>
  </si>
  <si>
    <t>Germplasm proportion</t>
  </si>
  <si>
    <t>Average Age</t>
  </si>
  <si>
    <t>Age (Total)</t>
  </si>
  <si>
    <t>Kidding rate</t>
  </si>
  <si>
    <t>Total body weight.</t>
  </si>
  <si>
    <t>No of lactating female</t>
  </si>
  <si>
    <t>Average milk yield per lactating female</t>
  </si>
  <si>
    <t>&lt;6 months</t>
  </si>
  <si>
    <t>6-12 months</t>
  </si>
  <si>
    <t>&gt;12 months</t>
  </si>
  <si>
    <t>Site of gazing</t>
  </si>
  <si>
    <t>Condition of gazing land</t>
  </si>
  <si>
    <t>Gazing charges paid</t>
  </si>
  <si>
    <t>Duration of gazing (hours)</t>
  </si>
  <si>
    <t>Avg Days/Annum</t>
  </si>
  <si>
    <t>Children</t>
  </si>
  <si>
    <t>Type of rearing</t>
  </si>
  <si>
    <t>Animal Shelter</t>
  </si>
  <si>
    <t>If pucca, year and investment in building shed</t>
  </si>
  <si>
    <t>If kuccha, yearly maintenance cost</t>
  </si>
  <si>
    <t>Investment in equipments (tools, ropes, buckets, milk pails, etc.)</t>
  </si>
  <si>
    <t>Veterinary expenditures</t>
  </si>
  <si>
    <t>AI/breeding</t>
  </si>
  <si>
    <t xml:space="preserve">Mineral Mixture </t>
  </si>
  <si>
    <t>Quantity fed per day (gms)</t>
  </si>
  <si>
    <t>Disease outbreaks</t>
  </si>
  <si>
    <t>Vaccination</t>
  </si>
  <si>
    <t>Vaccination proportion (for herd)</t>
  </si>
  <si>
    <t>Vaccination Rate (times/annum)</t>
  </si>
  <si>
    <t>Deworming</t>
  </si>
  <si>
    <t>Membership to group</t>
  </si>
  <si>
    <t>Credit availability</t>
  </si>
  <si>
    <t>Information constraints</t>
  </si>
  <si>
    <t>Distance to market</t>
  </si>
  <si>
    <t>Distance to nearest AHS (km)</t>
  </si>
  <si>
    <t>Kalpana Sardar Munda</t>
  </si>
  <si>
    <t>D/O- Niranjan Munda</t>
  </si>
  <si>
    <t>F</t>
  </si>
  <si>
    <t>Housewife</t>
  </si>
  <si>
    <t>Animal husbandry</t>
  </si>
  <si>
    <t>Y</t>
  </si>
  <si>
    <t>No</t>
  </si>
  <si>
    <t>Yes,PPR</t>
  </si>
  <si>
    <t>Yes, Albendazole</t>
  </si>
  <si>
    <t>Yes</t>
  </si>
  <si>
    <t>Mamata Sardar</t>
  </si>
  <si>
    <t>W/O- Bhabasindhu Sardar</t>
  </si>
  <si>
    <t>Tailoring</t>
  </si>
  <si>
    <t>Aparna Sardar</t>
  </si>
  <si>
    <t>W/O- Dinesh Ch. Sardar</t>
  </si>
  <si>
    <t>Agriculture</t>
  </si>
  <si>
    <t>Kalpana Sardar</t>
  </si>
  <si>
    <t>W/O- Rabindra Sardar</t>
  </si>
  <si>
    <t>Nibasi Singh</t>
  </si>
  <si>
    <t>W/O- Swapan Singh</t>
  </si>
  <si>
    <t>Subarna Sardar</t>
  </si>
  <si>
    <t>W/O- Tapan Sardar</t>
  </si>
  <si>
    <t>Toy making</t>
  </si>
  <si>
    <t>Astami Sardar</t>
  </si>
  <si>
    <t>W/O- Mrinal Sardar</t>
  </si>
  <si>
    <t>Brihaspati Sardar</t>
  </si>
  <si>
    <t>W/O- Nagen Sardar</t>
  </si>
  <si>
    <t>Tapati Sardar</t>
  </si>
  <si>
    <t>W/O- Pranab Sardar</t>
  </si>
  <si>
    <t>Basanti Sardar</t>
  </si>
  <si>
    <t>W/O- Tarani Sardar</t>
  </si>
  <si>
    <t>Ganga Sardar</t>
  </si>
  <si>
    <t>D/O- Laxmi Kanta Sardar</t>
  </si>
  <si>
    <t>Raju Sardar</t>
  </si>
  <si>
    <t>W/O- Naba Kumar Sardar</t>
  </si>
  <si>
    <t>M</t>
  </si>
  <si>
    <t>Daily wage labourer</t>
  </si>
  <si>
    <t>Bilashi Sardar</t>
  </si>
  <si>
    <t>D/O- Satish Sardar</t>
  </si>
  <si>
    <t>Household help (maid)</t>
  </si>
  <si>
    <t>Tulshi Sardar</t>
  </si>
  <si>
    <t>D/O- Kanta Sardar</t>
  </si>
  <si>
    <t>Madhuri Sing</t>
  </si>
  <si>
    <t>W/O- Bapan Sing</t>
  </si>
  <si>
    <t>Sarubala Sardar</t>
  </si>
  <si>
    <t>W/O- Haripada Sardar</t>
  </si>
  <si>
    <t>Shyamali Sardar</t>
  </si>
  <si>
    <t>D/O- Laxman Sardar</t>
  </si>
  <si>
    <t>Kanika Sardar</t>
  </si>
  <si>
    <t>D/O- Shanta Sardar</t>
  </si>
  <si>
    <t>Amela Sardar</t>
  </si>
  <si>
    <t>W/O- Nitai Sardar</t>
  </si>
  <si>
    <t>Sumitra Sardar</t>
  </si>
  <si>
    <t>D/O- Shyamal Sardar</t>
  </si>
  <si>
    <t>Kajal Sardar</t>
  </si>
  <si>
    <t>W/O- Nirmal Sardar</t>
  </si>
  <si>
    <t>Laxmi Sardar</t>
  </si>
  <si>
    <t>D/O- Gunadhar Sardar</t>
  </si>
  <si>
    <t>W/O- Gopal Sardar</t>
  </si>
  <si>
    <t>Pramila Sardar</t>
  </si>
  <si>
    <t>W/O- Dipankar Sardar</t>
  </si>
  <si>
    <t>Namita Sardar</t>
  </si>
  <si>
    <t>W/O- Chittaranjan Sardar</t>
  </si>
  <si>
    <t>Jamuna Sardar</t>
  </si>
  <si>
    <t>W/O- Sumangal Sardar</t>
  </si>
  <si>
    <t>Malina Sardar</t>
  </si>
  <si>
    <t>W/O- Ranjit Sardar</t>
  </si>
  <si>
    <t>Karuna Sardar</t>
  </si>
  <si>
    <t>D/O- Nishikanta Sardar</t>
  </si>
  <si>
    <t>Private tuition</t>
  </si>
  <si>
    <t>Dulali Munda</t>
  </si>
  <si>
    <t>W/O- Niranjan Munda</t>
  </si>
  <si>
    <t>school teacher</t>
  </si>
  <si>
    <t>Renu Bala Sardar</t>
  </si>
  <si>
    <t>W/O- Sudhannya Sardar</t>
  </si>
  <si>
    <t>W/O- Manmatha Sardar</t>
  </si>
  <si>
    <t>Lakshmi Rani Sardar</t>
  </si>
  <si>
    <t>W/O- Chandi Charan Sardar</t>
  </si>
  <si>
    <t>Mina Sardar</t>
  </si>
  <si>
    <t>W/O- Bhabesh Sardar</t>
  </si>
  <si>
    <t>Saraswati Sardar Munda</t>
  </si>
  <si>
    <t>W/O- Supravat Sardar</t>
  </si>
  <si>
    <t>Shephali Sardar</t>
  </si>
  <si>
    <t>D/O- Nirmal Sardar</t>
  </si>
  <si>
    <t>Payel Munda</t>
  </si>
  <si>
    <t>W/O- Sudeb Munda</t>
  </si>
  <si>
    <t>Kulapati Sardar</t>
  </si>
  <si>
    <t>W/O- Arun Sardar</t>
  </si>
  <si>
    <t>Sarmila Munda</t>
  </si>
  <si>
    <t>W/O- Sahadeb Munda</t>
  </si>
  <si>
    <t>Mousumi Sardar</t>
  </si>
  <si>
    <t>D/O- Paritosh Sardar</t>
  </si>
  <si>
    <t>Sima Sardar</t>
  </si>
  <si>
    <t>W/O- Anil Sardar</t>
  </si>
  <si>
    <t>Rupali Sardar</t>
  </si>
  <si>
    <t>Sudha Sardar</t>
  </si>
  <si>
    <t>W/O- Deben Sardar</t>
  </si>
  <si>
    <t>Malati Sardar</t>
  </si>
  <si>
    <t>W/O- Amesh Sardar</t>
  </si>
  <si>
    <t>Ranita Sardar</t>
  </si>
  <si>
    <t>D/O- Krishnapada Sardar</t>
  </si>
  <si>
    <t>Suryamani Munda</t>
  </si>
  <si>
    <t>W/O- Nirapada Munda</t>
  </si>
  <si>
    <t>Sabita Munda</t>
  </si>
  <si>
    <t>W/O- Panna Munda</t>
  </si>
  <si>
    <t>Sabita Sardar</t>
  </si>
  <si>
    <t>W/O- Dilip Kumar Sardar</t>
  </si>
  <si>
    <t>Putul Sardar</t>
  </si>
  <si>
    <t>W/O- Utpal Sardar</t>
  </si>
  <si>
    <t>Renuka Sardar</t>
  </si>
  <si>
    <t>W/O- Lakshikanta Sardar</t>
  </si>
  <si>
    <t>Anjali Sardar</t>
  </si>
  <si>
    <t>D/O- Tarapada Sardar</t>
  </si>
  <si>
    <t>Sikha Sing</t>
  </si>
  <si>
    <t>D/O- Khokan Sing</t>
  </si>
  <si>
    <t>D/O- Bhudhar Sardar</t>
  </si>
  <si>
    <t>D/O- Debnath Sardar</t>
  </si>
  <si>
    <t>Bishaka Sardar</t>
  </si>
  <si>
    <t>W/O- Sudhir Sardar</t>
  </si>
  <si>
    <t>Shampa Sardar</t>
  </si>
  <si>
    <t>D/O- Dilip Kumar Sardar</t>
  </si>
  <si>
    <t>Chandana Sardar</t>
  </si>
  <si>
    <t>W/O- Sanajit Sardar</t>
  </si>
  <si>
    <t>Bina Sardar</t>
  </si>
  <si>
    <t>W/O- Tarak Sardar</t>
  </si>
  <si>
    <t>Lalita Sardar</t>
  </si>
  <si>
    <t>W/O- Khokan Sardar</t>
  </si>
  <si>
    <t>Saraswati Sardar</t>
  </si>
  <si>
    <t>Minati Sardar</t>
  </si>
  <si>
    <t>W/O- Dayal Krishna Sardar</t>
  </si>
  <si>
    <t>Housewife (does nothing)</t>
  </si>
  <si>
    <t>Tapasi Munda</t>
  </si>
  <si>
    <t>W/O- Milan Munda</t>
  </si>
  <si>
    <t>W/O- Prodip Sardar</t>
  </si>
  <si>
    <t>Agri culture</t>
  </si>
  <si>
    <t>Champa Sardar</t>
  </si>
  <si>
    <t>W/O- Chandradeb Sardar</t>
  </si>
  <si>
    <t>Ramani Sardar</t>
  </si>
  <si>
    <t>D/O- Banamali Sardar</t>
  </si>
  <si>
    <t>Tumpa Sardar Majhi</t>
  </si>
  <si>
    <t>D/O- Susanto Sardar</t>
  </si>
  <si>
    <t>Radharani Sardar</t>
  </si>
  <si>
    <t>W/O- Jogen Sardar</t>
  </si>
  <si>
    <t>D/O- Rajkumar Sardar</t>
  </si>
  <si>
    <t>Anima Sardar</t>
  </si>
  <si>
    <t>Bharati Sing</t>
  </si>
  <si>
    <t>W/O- Khokan Sing</t>
  </si>
  <si>
    <t>Archana Munda</t>
  </si>
  <si>
    <t>W/O- Ananda Munda</t>
  </si>
  <si>
    <t>Bank job</t>
  </si>
  <si>
    <t>Rita Sardar</t>
  </si>
  <si>
    <t>D/O- Kanak Sardar</t>
  </si>
  <si>
    <t>Archana Mali</t>
  </si>
  <si>
    <t>D/O- Sachin Mali</t>
  </si>
  <si>
    <t>Namita Munda Sardar</t>
  </si>
  <si>
    <t>W/O- Shambhu Munda</t>
  </si>
  <si>
    <t>toy making</t>
  </si>
  <si>
    <t>Giribala Sardar</t>
  </si>
  <si>
    <t>D/O- Parbati Sardar</t>
  </si>
  <si>
    <t>Sumila Sardar</t>
  </si>
  <si>
    <t>W/O- Manoranjan Sardar</t>
  </si>
  <si>
    <t>Madhabi Munda</t>
  </si>
  <si>
    <t>W/O- Jatin Munda</t>
  </si>
  <si>
    <t>Durga Sardar</t>
  </si>
  <si>
    <t>D/O- Lakshi Kanta Sardar</t>
  </si>
  <si>
    <t>Karuna Munda</t>
  </si>
  <si>
    <t>D/O- Harekrishna Munda</t>
  </si>
  <si>
    <t>Susmita Sing</t>
  </si>
  <si>
    <t>W/O- Mithun Sing</t>
  </si>
  <si>
    <t>Subala Sardar</t>
  </si>
  <si>
    <t>W/O- Subodh Sardar</t>
  </si>
  <si>
    <t>Arubala Singh</t>
  </si>
  <si>
    <t>D/O- Girish Sardar</t>
  </si>
  <si>
    <t>Soma Sardar</t>
  </si>
  <si>
    <t>D/O- Mohindra Sardar</t>
  </si>
  <si>
    <t>Sundari Sardar</t>
  </si>
  <si>
    <t>W/O- Binod Sardar</t>
  </si>
  <si>
    <t>Falguni Sardar</t>
  </si>
  <si>
    <t>W/O- Sadananda Sardar</t>
  </si>
  <si>
    <t>W/O- Harekrishna Munda</t>
  </si>
  <si>
    <t>Mamoni Sardar</t>
  </si>
  <si>
    <t>D/O- Shibpada Sardar</t>
  </si>
  <si>
    <t>Gouri Sardar</t>
  </si>
  <si>
    <t>D/O- Gobinda Sardar</t>
  </si>
  <si>
    <t>Ganga Munda</t>
  </si>
  <si>
    <t>D/O- Ajit Munda</t>
  </si>
  <si>
    <t>Binapani Sardar</t>
  </si>
  <si>
    <t>W/O- Shaktipada Sardar</t>
  </si>
  <si>
    <t>Radharani Singh Sardar</t>
  </si>
  <si>
    <t>W/O- Balaram Singh</t>
  </si>
  <si>
    <t>Projjapati Sardar</t>
  </si>
  <si>
    <t>D/O- Sitanath Sardar</t>
  </si>
  <si>
    <t>Mina Munda</t>
  </si>
  <si>
    <t>W/O- Sanju Munda</t>
  </si>
  <si>
    <t>Rasmani Sardar</t>
  </si>
  <si>
    <t>W/O- Sitanath Sardar Sardar</t>
  </si>
  <si>
    <t>Sarathi Sardar</t>
  </si>
  <si>
    <t>D/O- Amulya Sardar</t>
  </si>
  <si>
    <t>Arati Sardar</t>
  </si>
  <si>
    <t>W/O- Karttik Sardar</t>
  </si>
  <si>
    <t>Jotsna Sardar</t>
  </si>
  <si>
    <t>W/O- Surajit Sardar</t>
  </si>
  <si>
    <t>Shymali Sardar</t>
  </si>
  <si>
    <t>shopkeeper</t>
  </si>
  <si>
    <t>Susmita Sardar</t>
  </si>
  <si>
    <t>W/O- Bapi Sardar</t>
  </si>
  <si>
    <t>W/O- Chitta Sardar</t>
  </si>
  <si>
    <t>Jhuma Sardar</t>
  </si>
  <si>
    <t>W/O- Kartick Sardar</t>
  </si>
  <si>
    <t>Dipali Sardar</t>
  </si>
  <si>
    <t>D/O- Hari Sardar</t>
  </si>
  <si>
    <t>Shibani Sardar</t>
  </si>
  <si>
    <t>teacher</t>
  </si>
  <si>
    <t>Lipika Sardar</t>
  </si>
  <si>
    <t>W/O- Bablu Sardar</t>
  </si>
  <si>
    <t>Ruma Sardar</t>
  </si>
  <si>
    <t>W/O- Shambhu Sardar</t>
  </si>
  <si>
    <t>W/O- Munsi Sardar</t>
  </si>
  <si>
    <t>Himla Sardar</t>
  </si>
  <si>
    <t>Rina Sardar</t>
  </si>
  <si>
    <t>D/O- Baren Sardar</t>
  </si>
  <si>
    <t>Hazari Sardar</t>
  </si>
  <si>
    <t>D/O- Jadab Sardar</t>
  </si>
  <si>
    <t>Aruna Sardar</t>
  </si>
  <si>
    <t>D/O- Mathura Sardar</t>
  </si>
  <si>
    <t>Satimana Sardar</t>
  </si>
  <si>
    <t>W/O- Ganesh Sardar</t>
  </si>
  <si>
    <t>Manubala Sardar</t>
  </si>
  <si>
    <t>W/O- Bishu Sardar</t>
  </si>
  <si>
    <t>W/O- Mrityunjoy Sardar</t>
  </si>
  <si>
    <t>Srabanti Sardar</t>
  </si>
  <si>
    <t>D/O- Monosha Sardar</t>
  </si>
  <si>
    <t>W/O- Dhiren Sardar</t>
  </si>
  <si>
    <t>Bharati Hembrom</t>
  </si>
  <si>
    <t>W/O-Devnath Hembrom</t>
  </si>
  <si>
    <t>Animal Husbandry</t>
  </si>
  <si>
    <t>Shrimati Mandi</t>
  </si>
  <si>
    <t>W/O-Basant Mandi</t>
  </si>
  <si>
    <t>Rupali Murmu</t>
  </si>
  <si>
    <t>W/O-Satya Murmu</t>
  </si>
  <si>
    <t>Jaggery business</t>
  </si>
  <si>
    <t>Shuna Mandi</t>
  </si>
  <si>
    <t>W/O-Ramcharan Mandi</t>
  </si>
  <si>
    <t>Parvati Mandi</t>
  </si>
  <si>
    <t>W/O-Krishna Mandi</t>
  </si>
  <si>
    <t>Rajani Mandi</t>
  </si>
  <si>
    <t>W/O-Suresh Mandi</t>
  </si>
  <si>
    <t>ASHA health worker in panchayat</t>
  </si>
  <si>
    <t>Arati Basmi</t>
  </si>
  <si>
    <t>W/O-Manoranjan Basmi</t>
  </si>
  <si>
    <t>Chandana Mandi</t>
  </si>
  <si>
    <t>W/O-Sachindra Mandi</t>
  </si>
  <si>
    <t>Chuni Murmu</t>
  </si>
  <si>
    <t>W/O-Subal Murmu</t>
  </si>
  <si>
    <t>Lali Murmu</t>
  </si>
  <si>
    <t>W/O-Tarun Murmu</t>
  </si>
  <si>
    <t>Raju Mondi</t>
  </si>
  <si>
    <t>S/O-Hemanta Mondi</t>
  </si>
  <si>
    <t>Manual construction labourer</t>
  </si>
  <si>
    <t>Sumitra Rishi</t>
  </si>
  <si>
    <t>W/O-Pradip Rishi</t>
  </si>
  <si>
    <t>Jibon Bagdi</t>
  </si>
  <si>
    <t>S/O-Mahesh Bagdi</t>
  </si>
  <si>
    <t>Shopkeeper</t>
  </si>
  <si>
    <t>Malati Bagdi</t>
  </si>
  <si>
    <t>W/O-Gouranga Bagdi</t>
  </si>
  <si>
    <t>Gopal Bhuimali</t>
  </si>
  <si>
    <t>S/O-Sukumar Bhuimali</t>
  </si>
  <si>
    <t>Pottery</t>
  </si>
  <si>
    <t>Laxmi Kaibarta</t>
  </si>
  <si>
    <t>W/O-Nabendu Kaibarta</t>
  </si>
  <si>
    <t>Hospital cook</t>
  </si>
  <si>
    <t>Babul Namasudra</t>
  </si>
  <si>
    <t>S/O-Satyajit Namasudra</t>
  </si>
  <si>
    <t>Auto driver</t>
  </si>
  <si>
    <t>Agriculture, welder</t>
  </si>
  <si>
    <t>Purnima Namasudri</t>
  </si>
  <si>
    <t>W/O-Prabhat Namasudra</t>
  </si>
  <si>
    <t>Nirmal Kaibarto</t>
  </si>
  <si>
    <t>S/O-Debasis Kaibarto</t>
  </si>
  <si>
    <t>Electrician</t>
  </si>
  <si>
    <t>plastic item manufacturing, Animal Husbandry</t>
  </si>
  <si>
    <t>Rebati Hadi</t>
  </si>
  <si>
    <t>W/O-Tapan Hadi</t>
  </si>
  <si>
    <t>Childcare worker</t>
  </si>
  <si>
    <t>Dhiren Dom</t>
  </si>
  <si>
    <t>S/O-Rabindranath Dom</t>
  </si>
  <si>
    <t>Anima Dasi</t>
  </si>
  <si>
    <t>W/O-Krishnendu Dasi</t>
  </si>
  <si>
    <t>Sanjit Rishi</t>
  </si>
  <si>
    <t>S/O-Nalinaksha Rishi</t>
  </si>
  <si>
    <t>Kumari Muchi</t>
  </si>
  <si>
    <t>W/O-Tushar Muchi</t>
  </si>
  <si>
    <t>Household helper</t>
  </si>
  <si>
    <t>Milan Turi</t>
  </si>
  <si>
    <t>S/O-Gunadhar Turi</t>
  </si>
  <si>
    <t>Bharati Chandala</t>
  </si>
  <si>
    <t>W/O-Rajsekhar Chandala</t>
  </si>
  <si>
    <t>Sunil Patni</t>
  </si>
  <si>
    <t>S/O-Surajit Patni</t>
  </si>
  <si>
    <t>Doli Patni</t>
  </si>
  <si>
    <t>W/O-Mihir Patni</t>
  </si>
  <si>
    <t>azolla culture</t>
  </si>
  <si>
    <t>Arjun Chandala</t>
  </si>
  <si>
    <t>S/O-Anil Chandala</t>
  </si>
  <si>
    <t>Plumber</t>
  </si>
  <si>
    <t>Jharna Poddar</t>
  </si>
  <si>
    <t>W/O-Sankar Poddar</t>
  </si>
  <si>
    <t>Haran Kalindi</t>
  </si>
  <si>
    <t>S/O-Jugalkishore Kalindi</t>
  </si>
  <si>
    <t>Primary school teacher</t>
  </si>
  <si>
    <t>Minati Dom</t>
  </si>
  <si>
    <t>W/O-Mahadev Dom</t>
  </si>
  <si>
    <t>Tapas Hadi</t>
  </si>
  <si>
    <t>S/O-Sunil Hadi</t>
  </si>
  <si>
    <t>Agricultural labourer</t>
  </si>
  <si>
    <t>Sushila Turi</t>
  </si>
  <si>
    <t>W/O-Niranjan Turi</t>
  </si>
  <si>
    <t>Pintu Pasi</t>
  </si>
  <si>
    <t>S/O-Kamal Pasi</t>
  </si>
  <si>
    <t>Rina Dhangari</t>
  </si>
  <si>
    <t>W/O-Somnath Dhangari</t>
  </si>
  <si>
    <t>Joynal Khatik</t>
  </si>
  <si>
    <t>S/O-Sudip Khatik</t>
  </si>
  <si>
    <t>Saraswati Kalindi</t>
  </si>
  <si>
    <t>W/O-Gobinda Kalindi</t>
  </si>
  <si>
    <t>Rajen Poddar</t>
  </si>
  <si>
    <t>S/O-Udayan Poddar</t>
  </si>
  <si>
    <t>Kamala Khatik</t>
  </si>
  <si>
    <t>W/O-Debabrata Khatik</t>
  </si>
  <si>
    <t>Sadhan Dosadh</t>
  </si>
  <si>
    <t>S/O-Bholanath Dosadh</t>
  </si>
  <si>
    <t>Mamata Dosadhi</t>
  </si>
  <si>
    <t>W/O-Rajsekhar Dosadhi</t>
  </si>
  <si>
    <t>Gokul Mahali</t>
  </si>
  <si>
    <t>S/O-Haripada Mahali</t>
  </si>
  <si>
    <t>Rupali Bhuimali</t>
  </si>
  <si>
    <t>W/O-Premnath Bhuimali</t>
  </si>
  <si>
    <t>Somnath Kaora</t>
  </si>
  <si>
    <t>S/O-Biswanath Kaora</t>
  </si>
  <si>
    <t>Tumpa Ghasi</t>
  </si>
  <si>
    <t>W/O-Sankar Ghasi</t>
  </si>
  <si>
    <t>Ashim Chamar</t>
  </si>
  <si>
    <t>S/O-Kartik Chamar</t>
  </si>
  <si>
    <t>Mitali Pasi</t>
  </si>
  <si>
    <t>W/O-Tapan Pasi</t>
  </si>
  <si>
    <t>Rakesh Natua</t>
  </si>
  <si>
    <t>S/O-Surajit Natua</t>
  </si>
  <si>
    <t>Arpita Kaibarti</t>
  </si>
  <si>
    <t>W/O-Biswajit Kaibarti</t>
  </si>
  <si>
    <t>Anganwadi worker</t>
  </si>
  <si>
    <t>Biplab Jhalo</t>
  </si>
  <si>
    <t>S/O-Gouranga Jhalo</t>
  </si>
  <si>
    <t xml:space="preserve">Mechanic </t>
  </si>
  <si>
    <t>Sandhya Sarki</t>
  </si>
  <si>
    <t>W/O-Haradhan Sarki</t>
  </si>
  <si>
    <t>Dilip Kaibarta</t>
  </si>
  <si>
    <t>S/O-Prabir Kaibarta</t>
  </si>
  <si>
    <t>Fruit seller</t>
  </si>
  <si>
    <t>Manju Bansfori</t>
  </si>
  <si>
    <t>W/O-Buddhadeb Bansfori</t>
  </si>
  <si>
    <t>housewife</t>
  </si>
  <si>
    <t>Bikas Bhuya</t>
  </si>
  <si>
    <t>S/O-Niranjan Bhuya</t>
  </si>
  <si>
    <t>Anita Mahali</t>
  </si>
  <si>
    <t>W/O-Ranjit Mahali</t>
  </si>
  <si>
    <t>Niranjan Sarki</t>
  </si>
  <si>
    <t>S/O-Sachin Sarki</t>
  </si>
  <si>
    <t>Delivery agent</t>
  </si>
  <si>
    <t>fishery</t>
  </si>
  <si>
    <t>Ruma Chamar</t>
  </si>
  <si>
    <t>W/O-Tarak Chamar</t>
  </si>
  <si>
    <t>Deben Ghasi</t>
  </si>
  <si>
    <t>S/O-Dilip Ghasi</t>
  </si>
  <si>
    <t>Namita Kanjar</t>
  </si>
  <si>
    <t>W/O-Surya Kanjar</t>
  </si>
  <si>
    <t>Swapan Kanjar</t>
  </si>
  <si>
    <t>S/O-Pranab Kanjar</t>
  </si>
  <si>
    <t>Bela Dhobi</t>
  </si>
  <si>
    <t>W/O-Hiranmoy Dhobi</t>
  </si>
  <si>
    <t>Lalit Hari</t>
  </si>
  <si>
    <t>S/O-Somnath Hari</t>
  </si>
  <si>
    <t>Asha Mala</t>
  </si>
  <si>
    <t>W/O-Anupam Mala</t>
  </si>
  <si>
    <t>Sukhen Damai</t>
  </si>
  <si>
    <t>S/O-Tamal Damai</t>
  </si>
  <si>
    <t>Kajal Hari</t>
  </si>
  <si>
    <t>W/O-Koushik Hari</t>
  </si>
  <si>
    <t>Tea stall owner</t>
  </si>
  <si>
    <t>Palash Bhogta</t>
  </si>
  <si>
    <t>S/O-Prakash Bhogta</t>
  </si>
  <si>
    <t>Dolly Lalbegi</t>
  </si>
  <si>
    <t>W/O-Sanatan Lalbegi</t>
  </si>
  <si>
    <t>Barun Dhangar</t>
  </si>
  <si>
    <t>S/O-Dayananda Dhangar</t>
  </si>
  <si>
    <t>Sutapa Natua</t>
  </si>
  <si>
    <t>W/O-Subhasish Natua</t>
  </si>
  <si>
    <t>Himadri Lalbegi</t>
  </si>
  <si>
    <t>S/O-Krishna Lalbegi</t>
  </si>
  <si>
    <t>Nandita Bhogta</t>
  </si>
  <si>
    <t>W/O-Tarakesh Bhogta</t>
  </si>
  <si>
    <t>Prasenjit Bansfor</t>
  </si>
  <si>
    <t>S/O-Satyabrata Bansfor</t>
  </si>
  <si>
    <t>Champa Mehtari</t>
  </si>
  <si>
    <t>W/O-Rajendra Mehtari</t>
  </si>
  <si>
    <t>Ashok Mehtar</t>
  </si>
  <si>
    <t>S/O-Haricharan Mehtar</t>
  </si>
  <si>
    <t>Shila Dhangari</t>
  </si>
  <si>
    <t>W/O-Kalyan Dhangari</t>
  </si>
  <si>
    <t>Sudip Mala</t>
  </si>
  <si>
    <t>S/O-Pulin Mala</t>
  </si>
  <si>
    <t>Meat shop</t>
  </si>
  <si>
    <t>Krishna Domini</t>
  </si>
  <si>
    <t>W/O-Sudhir Domini</t>
  </si>
  <si>
    <t>Biplab Muchi</t>
  </si>
  <si>
    <t>S/O-Bikram Muchi</t>
  </si>
  <si>
    <t>Bipasha Poddi</t>
  </si>
  <si>
    <t>W/O-Dhananjoy Poddi</t>
  </si>
  <si>
    <t>Karun Mallah</t>
  </si>
  <si>
    <t>S/O-Amalesh Mallah</t>
  </si>
  <si>
    <t>Kalyani Jhalo</t>
  </si>
  <si>
    <t>W/O-Ritam Jhalo</t>
  </si>
  <si>
    <t>Binod Dhobi</t>
  </si>
  <si>
    <t>S/O-Ratan Dhobi</t>
  </si>
  <si>
    <t>Monika Bhuya</t>
  </si>
  <si>
    <t>W/O-Tanmay Bhuya</t>
  </si>
  <si>
    <t>Tapan Rajbongshi</t>
  </si>
  <si>
    <t>S/O-Nihar Ranjbongshi</t>
  </si>
  <si>
    <t>Sheuli Patni</t>
  </si>
  <si>
    <t>W/O-Sandip Patni</t>
  </si>
  <si>
    <t>Sital Bhuiya</t>
  </si>
  <si>
    <t>S/O-Gobardhan Bhuiya</t>
  </si>
  <si>
    <t>Tandra Kaora</t>
  </si>
  <si>
    <t>W/O-Prabhas Kaora</t>
  </si>
  <si>
    <t>Manoranjan Patni</t>
  </si>
  <si>
    <t>S/O-Ramakrishna Patni</t>
  </si>
  <si>
    <t>Nila Rajbongshi</t>
  </si>
  <si>
    <t>W/O-Hirak Rajbongshi</t>
  </si>
  <si>
    <t>School teacher</t>
  </si>
  <si>
    <t xml:space="preserve">Avg Body Wt. </t>
  </si>
  <si>
    <t>Total green fodder (grass) per HH</t>
  </si>
  <si>
    <t>Bicholi= paddy straw+Mustard oilcake+wheat flour</t>
  </si>
  <si>
    <t xml:space="preserve">Grazing cost Incurred </t>
  </si>
  <si>
    <t>Habra rate= 250, hooghly rate= 250</t>
  </si>
  <si>
    <t>Duration of gazing (months)</t>
  </si>
  <si>
    <t>Feed costs per HH (20 per kilo rate)</t>
  </si>
  <si>
    <t>Total feed (dry+conc.) per HH</t>
  </si>
  <si>
    <t>Kids (M)%</t>
  </si>
  <si>
    <t>Kids (F)%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</si>
</sst>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5" tint="0.59999389629810485"/>
      <name val="Times New Roman"/>
      <family val="1"/>
    </font>
    <font>
      <b/>
      <sz val="12"/>
      <color theme="1"/>
      <name val="Times New Roman"/>
      <family val="1"/>
    </font>
    <font>
      <b/>
      <sz val="12"/>
      <color theme="7" tint="0.39997558519241921"/>
      <name val="Times New Roman"/>
      <family val="1"/>
    </font>
    <font>
      <b/>
      <sz val="12"/>
      <color theme="5" tint="0.59999389629810485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2" fontId="4" fillId="6" borderId="6" xfId="0" applyNumberFormat="1" applyFont="1" applyFill="1" applyBorder="1" applyAlignment="1">
      <alignment horizontal="center" vertical="center"/>
    </xf>
    <xf numFmtId="2" fontId="4" fillId="6" borderId="3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5" fontId="3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9" fillId="0" borderId="0" xfId="0" applyFont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7" borderId="7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L213"/>
  <sheetViews>
    <sheetView tabSelected="1" topLeftCell="DU1" zoomScale="70" zoomScaleNormal="70" workbookViewId="0">
      <pane ySplit="4" topLeftCell="A5" activePane="bottomLeft" state="frozen"/>
      <selection activeCell="BC1" sqref="BC1"/>
      <selection pane="bottomLeft" activeCell="BL201" sqref="BL201"/>
    </sheetView>
  </sheetViews>
  <sheetFormatPr defaultRowHeight="15.75" x14ac:dyDescent="0.25"/>
  <cols>
    <col min="1" max="1" width="9.140625" style="5"/>
    <col min="2" max="2" width="23.85546875" style="5" bestFit="1" customWidth="1"/>
    <col min="3" max="3" width="30.5703125" style="5" customWidth="1"/>
    <col min="4" max="4" width="27.140625" style="5" customWidth="1"/>
    <col min="5" max="5" width="24.42578125" style="5" bestFit="1" customWidth="1"/>
    <col min="6" max="6" width="22" style="43" bestFit="1" customWidth="1"/>
    <col min="7" max="7" width="22" style="5" customWidth="1"/>
    <col min="8" max="8" width="5.5703125" style="5" bestFit="1" customWidth="1"/>
    <col min="9" max="9" width="19.5703125" style="5" bestFit="1" customWidth="1"/>
    <col min="10" max="10" width="18.85546875" style="5" bestFit="1" customWidth="1"/>
    <col min="11" max="11" width="18.7109375" style="5" bestFit="1" customWidth="1"/>
    <col min="12" max="12" width="23.28515625" style="5" customWidth="1"/>
    <col min="13" max="13" width="9.140625" style="5"/>
    <col min="14" max="14" width="21.7109375" style="5" bestFit="1" customWidth="1"/>
    <col min="15" max="15" width="45.42578125" style="5" customWidth="1"/>
    <col min="16" max="16" width="14" style="5" bestFit="1" customWidth="1"/>
    <col min="17" max="17" width="15.7109375" style="5" bestFit="1" customWidth="1"/>
    <col min="18" max="18" width="17.140625" style="5" bestFit="1" customWidth="1"/>
    <col min="19" max="19" width="17.85546875" style="5" bestFit="1" customWidth="1"/>
    <col min="20" max="20" width="19.7109375" style="5" bestFit="1" customWidth="1"/>
    <col min="21" max="21" width="7.28515625" style="5" bestFit="1" customWidth="1"/>
    <col min="22" max="22" width="7.5703125" style="5" bestFit="1" customWidth="1"/>
    <col min="23" max="23" width="8.85546875" style="5" bestFit="1" customWidth="1"/>
    <col min="24" max="24" width="6.42578125" style="5" bestFit="1" customWidth="1"/>
    <col min="25" max="25" width="8.85546875" style="5" bestFit="1" customWidth="1"/>
    <col min="26" max="26" width="7.140625" style="5" bestFit="1" customWidth="1"/>
    <col min="27" max="27" width="8.85546875" style="5" bestFit="1" customWidth="1"/>
    <col min="28" max="28" width="7.140625" style="5" bestFit="1" customWidth="1"/>
    <col min="29" max="29" width="9.5703125" style="5" bestFit="1" customWidth="1"/>
    <col min="30" max="30" width="6.42578125" style="5" bestFit="1" customWidth="1"/>
    <col min="31" max="31" width="9.5703125" style="5" bestFit="1" customWidth="1"/>
    <col min="32" max="32" width="6.42578125" style="5" bestFit="1" customWidth="1"/>
    <col min="33" max="33" width="8.85546875" style="5" bestFit="1" customWidth="1"/>
    <col min="34" max="34" width="6.42578125" style="5" bestFit="1" customWidth="1"/>
    <col min="35" max="35" width="8.85546875" style="5" bestFit="1" customWidth="1"/>
    <col min="36" max="36" width="6.42578125" style="5" bestFit="1" customWidth="1"/>
    <col min="37" max="37" width="8.85546875" style="5" bestFit="1" customWidth="1"/>
    <col min="38" max="38" width="9.5703125" style="5" bestFit="1" customWidth="1"/>
    <col min="39" max="39" width="8.42578125" style="5" bestFit="1" customWidth="1"/>
    <col min="40" max="40" width="8.140625" style="5" bestFit="1" customWidth="1"/>
    <col min="41" max="41" width="10.7109375" style="5" bestFit="1" customWidth="1"/>
    <col min="42" max="42" width="10.7109375" style="5" customWidth="1"/>
    <col min="43" max="43" width="9.28515625" style="5" bestFit="1" customWidth="1"/>
    <col min="44" max="44" width="13.140625" style="5" customWidth="1"/>
    <col min="45" max="45" width="12.140625" style="5" customWidth="1"/>
    <col min="46" max="47" width="16.28515625" style="5" bestFit="1" customWidth="1"/>
    <col min="48" max="48" width="15.42578125" style="5" bestFit="1" customWidth="1"/>
    <col min="49" max="49" width="14.7109375" style="5" bestFit="1" customWidth="1"/>
    <col min="50" max="50" width="31.140625" style="5" bestFit="1" customWidth="1"/>
    <col min="51" max="51" width="26.7109375" style="5" customWidth="1"/>
    <col min="52" max="52" width="16" style="18" customWidth="1"/>
    <col min="53" max="53" width="16" style="5" bestFit="1" customWidth="1"/>
    <col min="54" max="54" width="18.85546875" style="5" customWidth="1"/>
    <col min="55" max="55" width="23.7109375" style="18" bestFit="1" customWidth="1"/>
    <col min="56" max="56" width="26.85546875" style="5" customWidth="1"/>
    <col min="57" max="57" width="28" style="5" bestFit="1" customWidth="1"/>
    <col min="58" max="58" width="48.140625" style="1" bestFit="1" customWidth="1"/>
    <col min="59" max="60" width="43.140625" style="1" customWidth="1"/>
    <col min="61" max="61" width="56.140625" style="1" customWidth="1"/>
    <col min="62" max="62" width="46.85546875" style="1" customWidth="1"/>
    <col min="63" max="63" width="12.7109375" style="5" bestFit="1" customWidth="1"/>
    <col min="64" max="64" width="14.7109375" style="5" bestFit="1" customWidth="1"/>
    <col min="65" max="65" width="14.140625" style="5" bestFit="1" customWidth="1"/>
    <col min="66" max="66" width="12.7109375" style="5" bestFit="1" customWidth="1"/>
    <col min="67" max="67" width="14.7109375" style="5" bestFit="1" customWidth="1"/>
    <col min="68" max="68" width="14.140625" style="5" bestFit="1" customWidth="1"/>
    <col min="69" max="69" width="12.7109375" style="5" bestFit="1" customWidth="1"/>
    <col min="70" max="70" width="14.7109375" style="5" bestFit="1" customWidth="1"/>
    <col min="71" max="71" width="14.140625" style="5" bestFit="1" customWidth="1"/>
    <col min="72" max="72" width="12.7109375" style="5" bestFit="1" customWidth="1"/>
    <col min="73" max="73" width="14.7109375" style="5" bestFit="1" customWidth="1"/>
    <col min="74" max="74" width="14.140625" style="5" bestFit="1" customWidth="1"/>
    <col min="75" max="75" width="12.7109375" style="5" bestFit="1" customWidth="1"/>
    <col min="76" max="76" width="14.7109375" style="5" bestFit="1" customWidth="1"/>
    <col min="77" max="77" width="14.140625" style="5" bestFit="1" customWidth="1"/>
    <col min="78" max="78" width="12.7109375" style="5" bestFit="1" customWidth="1"/>
    <col min="79" max="79" width="14.7109375" style="5" bestFit="1" customWidth="1"/>
    <col min="80" max="80" width="14.140625" style="5" bestFit="1" customWidth="1"/>
    <col min="81" max="81" width="12.7109375" style="5" bestFit="1" customWidth="1"/>
    <col min="82" max="82" width="14.7109375" style="5" bestFit="1" customWidth="1"/>
    <col min="83" max="83" width="14.140625" style="5" bestFit="1" customWidth="1"/>
    <col min="84" max="84" width="12.7109375" style="5" bestFit="1" customWidth="1"/>
    <col min="85" max="85" width="14.7109375" style="5" bestFit="1" customWidth="1"/>
    <col min="86" max="86" width="14.140625" style="5" bestFit="1" customWidth="1"/>
    <col min="87" max="87" width="12.7109375" style="5" bestFit="1" customWidth="1"/>
    <col min="88" max="88" width="14.7109375" style="5" bestFit="1" customWidth="1"/>
    <col min="89" max="89" width="14.140625" style="5" bestFit="1" customWidth="1"/>
    <col min="90" max="90" width="12.7109375" style="5" bestFit="1" customWidth="1"/>
    <col min="91" max="91" width="14.7109375" style="5" bestFit="1" customWidth="1"/>
    <col min="92" max="92" width="14.140625" style="5" bestFit="1" customWidth="1"/>
    <col min="93" max="93" width="12.7109375" style="5" bestFit="1" customWidth="1"/>
    <col min="94" max="94" width="14.7109375" style="5" bestFit="1" customWidth="1"/>
    <col min="95" max="95" width="14.140625" style="5" bestFit="1" customWidth="1"/>
    <col min="96" max="96" width="12.7109375" style="5" bestFit="1" customWidth="1"/>
    <col min="97" max="97" width="14.7109375" style="5" bestFit="1" customWidth="1"/>
    <col min="98" max="98" width="14.140625" style="5" bestFit="1" customWidth="1"/>
    <col min="99" max="99" width="15.85546875" style="5" bestFit="1" customWidth="1"/>
    <col min="100" max="100" width="28" style="5" bestFit="1" customWidth="1"/>
    <col min="101" max="101" width="23.28515625" style="5" bestFit="1" customWidth="1"/>
    <col min="102" max="102" width="33.85546875" style="5" customWidth="1"/>
    <col min="103" max="103" width="30" style="5" bestFit="1" customWidth="1"/>
    <col min="104" max="104" width="20.5703125" style="5" bestFit="1" customWidth="1"/>
    <col min="105" max="105" width="6.42578125" style="5" bestFit="1" customWidth="1"/>
    <col min="106" max="106" width="8.85546875" style="5" bestFit="1" customWidth="1"/>
    <col min="107" max="107" width="10.28515625" style="5" bestFit="1" customWidth="1"/>
    <col min="108" max="108" width="20.5703125" style="5" bestFit="1" customWidth="1"/>
    <col min="109" max="109" width="6.42578125" style="5" bestFit="1" customWidth="1"/>
    <col min="110" max="110" width="8.85546875" style="5" bestFit="1" customWidth="1"/>
    <col min="111" max="111" width="10.28515625" style="5" bestFit="1" customWidth="1"/>
    <col min="112" max="112" width="20.5703125" style="5" bestFit="1" customWidth="1"/>
    <col min="113" max="113" width="6.42578125" style="5" bestFit="1" customWidth="1"/>
    <col min="114" max="114" width="8.85546875" style="5" bestFit="1" customWidth="1"/>
    <col min="115" max="115" width="10.28515625" style="5" bestFit="1" customWidth="1"/>
    <col min="116" max="116" width="20.5703125" style="5" bestFit="1" customWidth="1"/>
    <col min="117" max="117" width="6.42578125" style="5" bestFit="1" customWidth="1"/>
    <col min="118" max="118" width="8.85546875" style="5" bestFit="1" customWidth="1"/>
    <col min="119" max="119" width="10.28515625" style="5" bestFit="1" customWidth="1"/>
    <col min="120" max="120" width="20.5703125" style="5" bestFit="1" customWidth="1"/>
    <col min="121" max="121" width="6.42578125" style="5" bestFit="1" customWidth="1"/>
    <col min="122" max="122" width="8.85546875" style="5" bestFit="1" customWidth="1"/>
    <col min="123" max="123" width="10.28515625" style="5" bestFit="1" customWidth="1"/>
    <col min="124" max="124" width="18" style="5" bestFit="1" customWidth="1"/>
    <col min="125" max="125" width="16.85546875" style="5" bestFit="1" customWidth="1"/>
    <col min="126" max="126" width="51.42578125" style="5" bestFit="1" customWidth="1"/>
    <col min="127" max="127" width="39" style="5" bestFit="1" customWidth="1"/>
    <col min="128" max="128" width="72" style="5" bestFit="1" customWidth="1"/>
    <col min="129" max="129" width="26.85546875" style="5" bestFit="1" customWidth="1"/>
    <col min="130" max="130" width="14" style="5" bestFit="1" customWidth="1"/>
    <col min="131" max="131" width="19" style="5" bestFit="1" customWidth="1"/>
    <col min="132" max="132" width="30.7109375" style="5" bestFit="1" customWidth="1"/>
    <col min="133" max="133" width="20.85546875" style="5" bestFit="1" customWidth="1"/>
    <col min="134" max="134" width="14" style="5" bestFit="1" customWidth="1"/>
    <col min="135" max="135" width="36.7109375" style="5" customWidth="1"/>
    <col min="136" max="136" width="36" style="5" bestFit="1" customWidth="1"/>
    <col min="137" max="137" width="16.28515625" style="5" bestFit="1" customWidth="1"/>
    <col min="138" max="138" width="24.85546875" style="5" bestFit="1" customWidth="1"/>
    <col min="139" max="139" width="19.85546875" style="5" bestFit="1" customWidth="1"/>
    <col min="140" max="140" width="26.5703125" style="5" bestFit="1" customWidth="1"/>
    <col min="141" max="141" width="21.42578125" style="5" bestFit="1" customWidth="1"/>
    <col min="142" max="142" width="33.85546875" style="5" bestFit="1" customWidth="1"/>
    <col min="143" max="16384" width="9.140625" style="5"/>
  </cols>
  <sheetData>
    <row r="1" spans="1:142" s="1" customFormat="1" ht="21.75" customHeight="1" x14ac:dyDescent="0.25">
      <c r="AX1" s="17"/>
      <c r="AY1" s="17"/>
      <c r="AZ1" s="18"/>
      <c r="BA1" s="18"/>
      <c r="BC1" s="18"/>
      <c r="BE1" s="19" t="s">
        <v>0</v>
      </c>
      <c r="BF1" s="14">
        <f>(SUM(BF5:BF122)/SUM(BE5:BE122))</f>
        <v>393.3334285714285</v>
      </c>
      <c r="BK1" s="49" t="s">
        <v>1</v>
      </c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  <c r="CE1" s="50"/>
      <c r="CF1" s="50"/>
      <c r="CG1" s="50"/>
      <c r="CH1" s="50"/>
      <c r="CI1" s="50"/>
      <c r="CJ1" s="50"/>
      <c r="CK1" s="50"/>
      <c r="CL1" s="50"/>
      <c r="CM1" s="50"/>
      <c r="CN1" s="50"/>
      <c r="CO1" s="50"/>
      <c r="CP1" s="50"/>
      <c r="CQ1" s="50"/>
      <c r="CR1" s="50"/>
      <c r="CS1" s="50"/>
      <c r="CT1" s="50"/>
    </row>
    <row r="2" spans="1:142" s="1" customFormat="1" x14ac:dyDescent="0.25">
      <c r="T2" s="20"/>
      <c r="U2" s="51" t="s">
        <v>2</v>
      </c>
      <c r="V2" s="51"/>
      <c r="W2" s="51"/>
      <c r="X2" s="51"/>
      <c r="Y2" s="51"/>
      <c r="Z2" s="51" t="s">
        <v>3</v>
      </c>
      <c r="AA2" s="51"/>
      <c r="AB2" s="51"/>
      <c r="AC2" s="51"/>
      <c r="AD2" s="51"/>
      <c r="AE2" s="51"/>
      <c r="AF2" s="51" t="s">
        <v>4</v>
      </c>
      <c r="AG2" s="52"/>
      <c r="AH2" s="52"/>
      <c r="AI2" s="52"/>
      <c r="AJ2" s="52"/>
      <c r="AK2" s="52"/>
      <c r="AP2" s="3" t="s">
        <v>5</v>
      </c>
      <c r="AX2" s="17"/>
      <c r="AY2" s="17"/>
      <c r="AZ2" s="17"/>
      <c r="BC2" s="18"/>
      <c r="BE2" s="19" t="s">
        <v>6</v>
      </c>
      <c r="BF2" s="14">
        <f>(SUM(BF123:BF212)/SUM(BE123:BE212))</f>
        <v>301.25</v>
      </c>
      <c r="BH2" s="15" t="s">
        <v>548</v>
      </c>
      <c r="BI2" s="3" t="s">
        <v>546</v>
      </c>
      <c r="BK2" s="53" t="s">
        <v>7</v>
      </c>
      <c r="BL2" s="54"/>
      <c r="BM2" s="54"/>
      <c r="BN2" s="54"/>
      <c r="BO2" s="54"/>
      <c r="BP2" s="54"/>
      <c r="BQ2" s="54" t="s">
        <v>8</v>
      </c>
      <c r="BR2" s="54"/>
      <c r="BS2" s="54"/>
      <c r="BT2" s="54"/>
      <c r="BU2" s="54"/>
      <c r="BV2" s="54"/>
      <c r="BW2" s="54" t="s">
        <v>9</v>
      </c>
      <c r="BX2" s="54"/>
      <c r="BY2" s="54"/>
      <c r="BZ2" s="54"/>
      <c r="CA2" s="54"/>
      <c r="CB2" s="54"/>
      <c r="CC2" s="54" t="s">
        <v>10</v>
      </c>
      <c r="CD2" s="54"/>
      <c r="CE2" s="54"/>
      <c r="CF2" s="54"/>
      <c r="CG2" s="54"/>
      <c r="CH2" s="54"/>
      <c r="CI2" s="54" t="s">
        <v>11</v>
      </c>
      <c r="CJ2" s="54"/>
      <c r="CK2" s="54"/>
      <c r="CL2" s="54"/>
      <c r="CM2" s="54"/>
      <c r="CN2" s="54"/>
      <c r="CO2" s="54" t="s">
        <v>12</v>
      </c>
      <c r="CP2" s="54"/>
      <c r="CQ2" s="54"/>
      <c r="CR2" s="54"/>
      <c r="CS2" s="54"/>
      <c r="CT2" s="54"/>
      <c r="CU2" s="1" t="s">
        <v>13</v>
      </c>
      <c r="CZ2" s="52" t="s">
        <v>14</v>
      </c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21"/>
      <c r="DU2" s="21"/>
      <c r="DV2" s="21"/>
      <c r="DW2" s="21"/>
    </row>
    <row r="3" spans="1:142" s="1" customFormat="1" x14ac:dyDescent="0.25">
      <c r="E3" s="55" t="s">
        <v>15</v>
      </c>
      <c r="F3" s="55"/>
      <c r="G3" s="21"/>
      <c r="X3" s="52" t="s">
        <v>16</v>
      </c>
      <c r="Y3" s="52"/>
      <c r="Z3" s="52" t="s">
        <v>17</v>
      </c>
      <c r="AA3" s="52"/>
      <c r="AB3" s="52" t="s">
        <v>18</v>
      </c>
      <c r="AC3" s="52"/>
      <c r="AD3" s="52" t="s">
        <v>19</v>
      </c>
      <c r="AE3" s="52"/>
      <c r="AF3" s="52" t="s">
        <v>20</v>
      </c>
      <c r="AG3" s="52"/>
      <c r="AH3" s="52" t="s">
        <v>18</v>
      </c>
      <c r="AI3" s="52"/>
      <c r="AJ3" s="52" t="s">
        <v>19</v>
      </c>
      <c r="AK3" s="52"/>
      <c r="AL3" s="52" t="s">
        <v>21</v>
      </c>
      <c r="AM3" s="52"/>
      <c r="AP3" s="3" t="s">
        <v>22</v>
      </c>
      <c r="AX3" s="21"/>
      <c r="AY3" s="21"/>
      <c r="AZ3" s="21"/>
      <c r="BA3" s="21"/>
      <c r="BB3" s="21"/>
      <c r="BC3" s="21"/>
      <c r="BD3" s="22" t="s">
        <v>23</v>
      </c>
      <c r="BE3" s="21"/>
      <c r="BF3" s="22" t="s">
        <v>23</v>
      </c>
      <c r="BG3" s="21"/>
      <c r="BH3" s="21"/>
      <c r="BI3" s="21"/>
      <c r="BJ3" s="21"/>
      <c r="BK3" s="53" t="s">
        <v>24</v>
      </c>
      <c r="BL3" s="54"/>
      <c r="BM3" s="54"/>
      <c r="BN3" s="54" t="s">
        <v>25</v>
      </c>
      <c r="BO3" s="54"/>
      <c r="BP3" s="54"/>
      <c r="BQ3" s="54" t="s">
        <v>24</v>
      </c>
      <c r="BR3" s="54"/>
      <c r="BS3" s="54"/>
      <c r="BT3" s="54" t="s">
        <v>25</v>
      </c>
      <c r="BU3" s="54"/>
      <c r="BV3" s="54"/>
      <c r="BW3" s="54" t="s">
        <v>24</v>
      </c>
      <c r="BX3" s="54"/>
      <c r="BY3" s="54"/>
      <c r="BZ3" s="54" t="s">
        <v>25</v>
      </c>
      <c r="CA3" s="54"/>
      <c r="CB3" s="54"/>
      <c r="CC3" s="54" t="s">
        <v>24</v>
      </c>
      <c r="CD3" s="54"/>
      <c r="CE3" s="54"/>
      <c r="CF3" s="54" t="s">
        <v>25</v>
      </c>
      <c r="CG3" s="54"/>
      <c r="CH3" s="54"/>
      <c r="CI3" s="54" t="s">
        <v>24</v>
      </c>
      <c r="CJ3" s="54"/>
      <c r="CK3" s="54"/>
      <c r="CL3" s="54" t="s">
        <v>25</v>
      </c>
      <c r="CM3" s="54"/>
      <c r="CN3" s="54"/>
      <c r="CO3" s="54" t="s">
        <v>24</v>
      </c>
      <c r="CP3" s="54"/>
      <c r="CQ3" s="54"/>
      <c r="CR3" s="54" t="s">
        <v>25</v>
      </c>
      <c r="CS3" s="54"/>
      <c r="CT3" s="54"/>
      <c r="CU3" s="52" t="s">
        <v>26</v>
      </c>
      <c r="CV3" s="52"/>
      <c r="CW3" s="52"/>
      <c r="CX3" s="52"/>
      <c r="CY3" s="52"/>
      <c r="CZ3" s="52" t="s">
        <v>27</v>
      </c>
      <c r="DA3" s="52"/>
      <c r="DB3" s="52"/>
      <c r="DC3" s="52"/>
      <c r="DD3" s="52" t="s">
        <v>28</v>
      </c>
      <c r="DE3" s="52"/>
      <c r="DF3" s="52"/>
      <c r="DG3" s="52"/>
      <c r="DH3" s="52" t="s">
        <v>29</v>
      </c>
      <c r="DI3" s="52"/>
      <c r="DJ3" s="52"/>
      <c r="DK3" s="52"/>
      <c r="DL3" s="52" t="s">
        <v>30</v>
      </c>
      <c r="DM3" s="52"/>
      <c r="DN3" s="52"/>
      <c r="DO3" s="52"/>
      <c r="DP3" s="52" t="s">
        <v>31</v>
      </c>
      <c r="DQ3" s="52"/>
      <c r="DR3" s="52"/>
      <c r="DS3" s="52"/>
      <c r="DT3" s="55" t="s">
        <v>32</v>
      </c>
      <c r="DU3" s="55"/>
      <c r="DV3" s="55"/>
      <c r="DW3" s="55"/>
      <c r="DX3" s="55"/>
      <c r="DY3" s="55"/>
      <c r="DZ3" s="55"/>
      <c r="EA3" s="55"/>
      <c r="EB3" s="55"/>
      <c r="EH3" s="52" t="s">
        <v>33</v>
      </c>
      <c r="EI3" s="52"/>
      <c r="EJ3" s="52"/>
      <c r="EK3" s="52"/>
      <c r="EL3" s="52"/>
    </row>
    <row r="4" spans="1:142" x14ac:dyDescent="0.25">
      <c r="A4" s="23" t="s">
        <v>34</v>
      </c>
      <c r="B4" s="24" t="s">
        <v>35</v>
      </c>
      <c r="C4" s="25" t="s">
        <v>36</v>
      </c>
      <c r="D4" s="25" t="s">
        <v>37</v>
      </c>
      <c r="E4" s="25" t="s">
        <v>38</v>
      </c>
      <c r="F4" s="25" t="s">
        <v>39</v>
      </c>
      <c r="G4" s="24" t="s">
        <v>40</v>
      </c>
      <c r="H4" s="24" t="s">
        <v>41</v>
      </c>
      <c r="I4" s="25" t="s">
        <v>42</v>
      </c>
      <c r="J4" s="25" t="s">
        <v>43</v>
      </c>
      <c r="K4" s="25" t="s">
        <v>44</v>
      </c>
      <c r="L4" s="25" t="s">
        <v>45</v>
      </c>
      <c r="M4" s="25" t="s">
        <v>46</v>
      </c>
      <c r="N4" s="25" t="s">
        <v>47</v>
      </c>
      <c r="O4" s="25" t="s">
        <v>48</v>
      </c>
      <c r="P4" s="25" t="s">
        <v>49</v>
      </c>
      <c r="Q4" s="25" t="s">
        <v>50</v>
      </c>
      <c r="R4" s="25" t="s">
        <v>51</v>
      </c>
      <c r="S4" s="25" t="s">
        <v>52</v>
      </c>
      <c r="T4" s="25" t="s">
        <v>53</v>
      </c>
      <c r="U4" s="25" t="s">
        <v>54</v>
      </c>
      <c r="V4" s="25" t="s">
        <v>55</v>
      </c>
      <c r="W4" s="25" t="s">
        <v>56</v>
      </c>
      <c r="X4" s="25" t="s">
        <v>24</v>
      </c>
      <c r="Y4" s="25" t="s">
        <v>25</v>
      </c>
      <c r="Z4" s="25" t="s">
        <v>57</v>
      </c>
      <c r="AA4" s="25" t="s">
        <v>25</v>
      </c>
      <c r="AB4" s="25" t="s">
        <v>57</v>
      </c>
      <c r="AC4" s="25" t="s">
        <v>58</v>
      </c>
      <c r="AD4" s="25" t="s">
        <v>24</v>
      </c>
      <c r="AE4" s="25" t="s">
        <v>58</v>
      </c>
      <c r="AF4" s="25" t="s">
        <v>24</v>
      </c>
      <c r="AG4" s="25" t="s">
        <v>25</v>
      </c>
      <c r="AH4" s="25" t="s">
        <v>24</v>
      </c>
      <c r="AI4" s="25" t="s">
        <v>25</v>
      </c>
      <c r="AJ4" s="25" t="s">
        <v>24</v>
      </c>
      <c r="AK4" s="25" t="s">
        <v>25</v>
      </c>
      <c r="AL4" s="25" t="s">
        <v>59</v>
      </c>
      <c r="AM4" s="25" t="s">
        <v>60</v>
      </c>
      <c r="AN4" s="25" t="s">
        <v>61</v>
      </c>
      <c r="AO4" s="25" t="s">
        <v>62</v>
      </c>
      <c r="AP4" s="26" t="s">
        <v>63</v>
      </c>
      <c r="AQ4" s="26" t="s">
        <v>64</v>
      </c>
      <c r="AR4" s="26" t="s">
        <v>552</v>
      </c>
      <c r="AS4" s="26" t="s">
        <v>553</v>
      </c>
      <c r="AT4" s="26" t="s">
        <v>65</v>
      </c>
      <c r="AU4" s="26" t="s">
        <v>66</v>
      </c>
      <c r="AV4" s="26" t="s">
        <v>67</v>
      </c>
      <c r="AW4" s="26" t="s">
        <v>68</v>
      </c>
      <c r="AX4" s="26" t="s">
        <v>69</v>
      </c>
      <c r="AY4" s="27" t="s">
        <v>70</v>
      </c>
      <c r="AZ4" s="28" t="s">
        <v>71</v>
      </c>
      <c r="BA4" s="29" t="s">
        <v>72</v>
      </c>
      <c r="BB4" s="30" t="s">
        <v>73</v>
      </c>
      <c r="BC4" s="28" t="s">
        <v>74</v>
      </c>
      <c r="BD4" s="31" t="s">
        <v>544</v>
      </c>
      <c r="BE4" s="30" t="s">
        <v>75</v>
      </c>
      <c r="BF4" s="31" t="s">
        <v>76</v>
      </c>
      <c r="BG4" s="32" t="s">
        <v>545</v>
      </c>
      <c r="BH4" s="32" t="s">
        <v>547</v>
      </c>
      <c r="BI4" s="32" t="s">
        <v>551</v>
      </c>
      <c r="BJ4" s="32" t="s">
        <v>550</v>
      </c>
      <c r="BK4" s="33" t="s">
        <v>77</v>
      </c>
      <c r="BL4" s="34" t="s">
        <v>78</v>
      </c>
      <c r="BM4" s="34" t="s">
        <v>79</v>
      </c>
      <c r="BN4" s="34" t="s">
        <v>77</v>
      </c>
      <c r="BO4" s="34" t="s">
        <v>78</v>
      </c>
      <c r="BP4" s="34" t="s">
        <v>79</v>
      </c>
      <c r="BQ4" s="34" t="s">
        <v>77</v>
      </c>
      <c r="BR4" s="34" t="s">
        <v>78</v>
      </c>
      <c r="BS4" s="34" t="s">
        <v>79</v>
      </c>
      <c r="BT4" s="34" t="s">
        <v>77</v>
      </c>
      <c r="BU4" s="34" t="s">
        <v>78</v>
      </c>
      <c r="BV4" s="34" t="s">
        <v>79</v>
      </c>
      <c r="BW4" s="34" t="s">
        <v>77</v>
      </c>
      <c r="BX4" s="34" t="s">
        <v>78</v>
      </c>
      <c r="BY4" s="34" t="s">
        <v>79</v>
      </c>
      <c r="BZ4" s="34" t="s">
        <v>77</v>
      </c>
      <c r="CA4" s="34" t="s">
        <v>78</v>
      </c>
      <c r="CB4" s="34" t="s">
        <v>79</v>
      </c>
      <c r="CC4" s="34" t="s">
        <v>77</v>
      </c>
      <c r="CD4" s="34" t="s">
        <v>78</v>
      </c>
      <c r="CE4" s="34" t="s">
        <v>79</v>
      </c>
      <c r="CF4" s="34" t="s">
        <v>77</v>
      </c>
      <c r="CG4" s="34" t="s">
        <v>78</v>
      </c>
      <c r="CH4" s="34" t="s">
        <v>79</v>
      </c>
      <c r="CI4" s="34" t="s">
        <v>77</v>
      </c>
      <c r="CJ4" s="34" t="s">
        <v>78</v>
      </c>
      <c r="CK4" s="34" t="s">
        <v>79</v>
      </c>
      <c r="CL4" s="34" t="s">
        <v>77</v>
      </c>
      <c r="CM4" s="34" t="s">
        <v>78</v>
      </c>
      <c r="CN4" s="34" t="s">
        <v>79</v>
      </c>
      <c r="CO4" s="34" t="s">
        <v>77</v>
      </c>
      <c r="CP4" s="34" t="s">
        <v>78</v>
      </c>
      <c r="CQ4" s="34" t="s">
        <v>79</v>
      </c>
      <c r="CR4" s="34" t="s">
        <v>77</v>
      </c>
      <c r="CS4" s="34" t="s">
        <v>78</v>
      </c>
      <c r="CT4" s="34" t="s">
        <v>79</v>
      </c>
      <c r="CU4" s="25" t="s">
        <v>80</v>
      </c>
      <c r="CV4" s="25" t="s">
        <v>81</v>
      </c>
      <c r="CW4" s="25" t="s">
        <v>82</v>
      </c>
      <c r="CX4" s="25" t="s">
        <v>549</v>
      </c>
      <c r="CY4" s="25" t="s">
        <v>83</v>
      </c>
      <c r="CZ4" s="25" t="s">
        <v>84</v>
      </c>
      <c r="DA4" s="25" t="s">
        <v>24</v>
      </c>
      <c r="DB4" s="25" t="s">
        <v>25</v>
      </c>
      <c r="DC4" s="25" t="s">
        <v>85</v>
      </c>
      <c r="DD4" s="25" t="s">
        <v>84</v>
      </c>
      <c r="DE4" s="25" t="s">
        <v>24</v>
      </c>
      <c r="DF4" s="25" t="s">
        <v>25</v>
      </c>
      <c r="DG4" s="25" t="s">
        <v>85</v>
      </c>
      <c r="DH4" s="25" t="s">
        <v>84</v>
      </c>
      <c r="DI4" s="25" t="s">
        <v>24</v>
      </c>
      <c r="DJ4" s="25" t="s">
        <v>25</v>
      </c>
      <c r="DK4" s="25" t="s">
        <v>85</v>
      </c>
      <c r="DL4" s="25" t="s">
        <v>84</v>
      </c>
      <c r="DM4" s="25" t="s">
        <v>24</v>
      </c>
      <c r="DN4" s="25" t="s">
        <v>25</v>
      </c>
      <c r="DO4" s="25" t="s">
        <v>85</v>
      </c>
      <c r="DP4" s="25" t="s">
        <v>84</v>
      </c>
      <c r="DQ4" s="25" t="s">
        <v>24</v>
      </c>
      <c r="DR4" s="25" t="s">
        <v>25</v>
      </c>
      <c r="DS4" s="25" t="s">
        <v>85</v>
      </c>
      <c r="DT4" s="25" t="s">
        <v>86</v>
      </c>
      <c r="DU4" s="25" t="s">
        <v>87</v>
      </c>
      <c r="DV4" s="25" t="s">
        <v>88</v>
      </c>
      <c r="DW4" s="25" t="s">
        <v>89</v>
      </c>
      <c r="DX4" s="25" t="s">
        <v>90</v>
      </c>
      <c r="DY4" s="25" t="s">
        <v>91</v>
      </c>
      <c r="DZ4" s="25" t="s">
        <v>92</v>
      </c>
      <c r="EA4" s="25" t="s">
        <v>93</v>
      </c>
      <c r="EB4" s="25" t="s">
        <v>94</v>
      </c>
      <c r="EC4" s="25" t="s">
        <v>95</v>
      </c>
      <c r="ED4" s="25" t="s">
        <v>96</v>
      </c>
      <c r="EE4" s="26" t="s">
        <v>97</v>
      </c>
      <c r="EF4" s="26" t="s">
        <v>98</v>
      </c>
      <c r="EG4" s="25" t="s">
        <v>99</v>
      </c>
      <c r="EH4" s="25" t="s">
        <v>100</v>
      </c>
      <c r="EI4" s="25" t="s">
        <v>101</v>
      </c>
      <c r="EJ4" s="25" t="s">
        <v>102</v>
      </c>
      <c r="EK4" s="25" t="s">
        <v>103</v>
      </c>
      <c r="EL4" s="25" t="s">
        <v>104</v>
      </c>
    </row>
    <row r="5" spans="1:142" x14ac:dyDescent="0.25">
      <c r="A5" s="5">
        <v>1</v>
      </c>
      <c r="B5" s="17" t="s">
        <v>105</v>
      </c>
      <c r="C5" s="1" t="s">
        <v>106</v>
      </c>
      <c r="D5" s="35">
        <v>45366</v>
      </c>
      <c r="E5" s="1">
        <v>2</v>
      </c>
      <c r="F5" s="36"/>
      <c r="G5" s="1">
        <v>1</v>
      </c>
      <c r="H5" s="1">
        <v>45</v>
      </c>
      <c r="I5" s="1">
        <v>3</v>
      </c>
      <c r="J5" s="1">
        <v>5</v>
      </c>
      <c r="K5" s="1">
        <v>8</v>
      </c>
      <c r="L5" s="1">
        <f>IF(K5=0,0,IF(K5&lt;=5,1,IF(K5&lt;=9,2,IF(K5&lt;=11,3,IF(K5=12,4,IF(K5=13,5,""))))))</f>
        <v>2</v>
      </c>
      <c r="M5" s="1" t="s">
        <v>107</v>
      </c>
      <c r="N5" s="1" t="s">
        <v>108</v>
      </c>
      <c r="O5" s="1" t="s">
        <v>109</v>
      </c>
      <c r="P5" s="1" t="s">
        <v>110</v>
      </c>
      <c r="Q5" s="1" t="s">
        <v>110</v>
      </c>
      <c r="R5" s="7">
        <v>1</v>
      </c>
      <c r="S5" s="1">
        <v>4</v>
      </c>
      <c r="T5" s="1">
        <v>0.12644</v>
      </c>
      <c r="U5" s="1"/>
      <c r="V5" s="1"/>
      <c r="W5" s="1"/>
      <c r="X5" s="1"/>
      <c r="Y5" s="1"/>
      <c r="Z5" s="3">
        <v>1</v>
      </c>
      <c r="AA5" s="3"/>
      <c r="AB5" s="3"/>
      <c r="AC5" s="3">
        <v>1</v>
      </c>
      <c r="AD5" s="3">
        <v>1</v>
      </c>
      <c r="AE5" s="3">
        <v>1</v>
      </c>
      <c r="AF5" s="1"/>
      <c r="AG5" s="1">
        <v>1</v>
      </c>
      <c r="AH5" s="1"/>
      <c r="AI5" s="1"/>
      <c r="AJ5" s="1"/>
      <c r="AK5" s="1"/>
      <c r="AL5" s="1">
        <v>2</v>
      </c>
      <c r="AM5" s="1">
        <v>4</v>
      </c>
      <c r="AN5" s="1">
        <v>10</v>
      </c>
      <c r="AO5" s="7">
        <v>4</v>
      </c>
      <c r="AP5" s="7">
        <f>(AD5+AE5)*0.1+(AB5+AC5+Z5+AA5)*0.03</f>
        <v>0.26</v>
      </c>
      <c r="AQ5" s="7">
        <f>(((Z5+AA5)*0.03)/AP5)*100</f>
        <v>11.538461538461538</v>
      </c>
      <c r="AR5" s="7">
        <f>Z5/AO5</f>
        <v>0.25</v>
      </c>
      <c r="AS5" s="7">
        <f>AA5/AO5</f>
        <v>0</v>
      </c>
      <c r="AT5" s="7">
        <f>((AB5*0.03)/AP5)*100</f>
        <v>0</v>
      </c>
      <c r="AU5" s="7">
        <f>((AC5*0.03)/AP5)*100</f>
        <v>11.538461538461538</v>
      </c>
      <c r="AV5" s="7">
        <f>((AD5*0.03)/AP5)*100</f>
        <v>11.538461538461538</v>
      </c>
      <c r="AW5" s="7">
        <f>((AE5*0.03)/AP5)*100</f>
        <v>11.538461538461538</v>
      </c>
      <c r="AX5" s="7">
        <f>(((AA5+AC5+AE5)*0.03)/AP5)*100</f>
        <v>23.076923076923077</v>
      </c>
      <c r="AY5" s="7">
        <v>0.25</v>
      </c>
      <c r="AZ5" s="18">
        <v>14.5</v>
      </c>
      <c r="BA5" s="18">
        <v>58</v>
      </c>
      <c r="BB5" s="7">
        <v>0.5</v>
      </c>
      <c r="BC5" s="7">
        <v>84</v>
      </c>
      <c r="BD5" s="7">
        <f>BC5/AO5</f>
        <v>21</v>
      </c>
      <c r="BE5" s="7">
        <v>0</v>
      </c>
      <c r="BF5" s="1">
        <v>0</v>
      </c>
      <c r="BG5" s="7">
        <v>5640</v>
      </c>
      <c r="BH5" s="7">
        <v>30000</v>
      </c>
      <c r="BI5" s="7">
        <v>900</v>
      </c>
      <c r="BJ5" s="7">
        <v>18</v>
      </c>
      <c r="BK5" s="1"/>
      <c r="BL5" s="1"/>
      <c r="BM5" s="1">
        <v>1</v>
      </c>
      <c r="BN5" s="1"/>
      <c r="BO5" s="1"/>
      <c r="BP5" s="1"/>
      <c r="BQ5" s="1">
        <v>1</v>
      </c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>
        <v>1</v>
      </c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7">
        <v>2</v>
      </c>
      <c r="CV5" s="7">
        <v>2</v>
      </c>
      <c r="CW5" s="7">
        <v>0</v>
      </c>
      <c r="CX5" s="7">
        <v>8</v>
      </c>
      <c r="CY5" s="1">
        <v>4</v>
      </c>
      <c r="CZ5" s="7"/>
      <c r="DA5" s="7">
        <v>1</v>
      </c>
      <c r="DB5" s="1"/>
      <c r="DC5" s="1"/>
      <c r="DD5" s="1"/>
      <c r="DE5" s="1"/>
      <c r="DF5" s="1">
        <v>1</v>
      </c>
      <c r="DG5" s="1"/>
      <c r="DH5" s="1"/>
      <c r="DI5" s="1"/>
      <c r="DJ5" s="1">
        <v>1</v>
      </c>
      <c r="DK5" s="1"/>
      <c r="DL5" s="1"/>
      <c r="DM5" s="1">
        <v>1</v>
      </c>
      <c r="DN5" s="1"/>
      <c r="DO5" s="1"/>
      <c r="DP5" s="1"/>
      <c r="DQ5" s="1">
        <v>1</v>
      </c>
      <c r="DR5" s="1"/>
      <c r="DS5" s="1"/>
      <c r="DT5" s="7">
        <v>3</v>
      </c>
      <c r="DU5" s="7">
        <v>1</v>
      </c>
      <c r="DV5" s="7">
        <v>102300</v>
      </c>
      <c r="DW5" s="1"/>
      <c r="DX5" s="7">
        <v>700</v>
      </c>
      <c r="DY5" s="7">
        <v>1200</v>
      </c>
      <c r="DZ5" s="1"/>
      <c r="EA5" s="1"/>
      <c r="EB5" s="1"/>
      <c r="EC5" s="1" t="s">
        <v>111</v>
      </c>
      <c r="ED5" s="1" t="s">
        <v>112</v>
      </c>
      <c r="EE5" s="1">
        <v>1</v>
      </c>
      <c r="EF5" s="1">
        <v>1</v>
      </c>
      <c r="EG5" s="1" t="s">
        <v>113</v>
      </c>
      <c r="EH5" s="1" t="s">
        <v>114</v>
      </c>
      <c r="EI5" s="1" t="s">
        <v>111</v>
      </c>
      <c r="EJ5" s="1" t="s">
        <v>114</v>
      </c>
      <c r="EK5" s="1">
        <v>5</v>
      </c>
      <c r="EL5" s="1">
        <v>5</v>
      </c>
    </row>
    <row r="6" spans="1:142" x14ac:dyDescent="0.25">
      <c r="A6" s="5">
        <v>2</v>
      </c>
      <c r="B6" s="17" t="s">
        <v>115</v>
      </c>
      <c r="C6" s="1" t="s">
        <v>116</v>
      </c>
      <c r="D6" s="35">
        <v>45366</v>
      </c>
      <c r="E6" s="1">
        <v>2</v>
      </c>
      <c r="F6" s="36">
        <v>1</v>
      </c>
      <c r="G6" s="1">
        <v>1</v>
      </c>
      <c r="H6" s="1">
        <v>34</v>
      </c>
      <c r="I6" s="1">
        <v>2</v>
      </c>
      <c r="J6" s="1">
        <v>10</v>
      </c>
      <c r="K6" s="1">
        <v>12</v>
      </c>
      <c r="L6" s="1">
        <f t="shared" ref="L6:L69" si="0">IF(K6=0,0,IF(K6&lt;=5,1,IF(K6&lt;=9,2,IF(K6&lt;=11,3,IF(K6=12,4,IF(K6=13,5,""))))))</f>
        <v>4</v>
      </c>
      <c r="M6" s="1" t="s">
        <v>107</v>
      </c>
      <c r="N6" s="1" t="s">
        <v>109</v>
      </c>
      <c r="O6" s="1" t="s">
        <v>117</v>
      </c>
      <c r="P6" s="1" t="s">
        <v>110</v>
      </c>
      <c r="Q6" s="1" t="s">
        <v>110</v>
      </c>
      <c r="R6" s="7">
        <v>3</v>
      </c>
      <c r="S6" s="1">
        <v>4</v>
      </c>
      <c r="T6" s="1">
        <v>0.12644</v>
      </c>
      <c r="U6" s="1"/>
      <c r="V6" s="1"/>
      <c r="W6" s="1"/>
      <c r="X6" s="1"/>
      <c r="Y6" s="1"/>
      <c r="Z6" s="3"/>
      <c r="AA6" s="3">
        <v>1</v>
      </c>
      <c r="AB6" s="3">
        <v>2</v>
      </c>
      <c r="AC6" s="3"/>
      <c r="AD6" s="3"/>
      <c r="AE6" s="3">
        <v>1</v>
      </c>
      <c r="AF6" s="1"/>
      <c r="AG6" s="1">
        <v>1</v>
      </c>
      <c r="AH6" s="1"/>
      <c r="AI6" s="1"/>
      <c r="AJ6" s="1"/>
      <c r="AK6" s="1"/>
      <c r="AL6" s="1"/>
      <c r="AM6" s="1"/>
      <c r="AN6" s="1">
        <v>10</v>
      </c>
      <c r="AO6" s="7">
        <v>4</v>
      </c>
      <c r="AP6" s="7">
        <f>(AD6+AE6)*0.1+(AB6+AC6+Z6+AA6)*0.03</f>
        <v>0.19</v>
      </c>
      <c r="AQ6" s="7">
        <f t="shared" ref="AQ6:AQ69" si="1">(((Z6+AA6)*0.03)/AP6)*100</f>
        <v>15.789473684210526</v>
      </c>
      <c r="AR6" s="7">
        <f t="shared" ref="AR6:AR69" si="2">Z6/AO6</f>
        <v>0</v>
      </c>
      <c r="AS6" s="7">
        <f t="shared" ref="AS6:AS69" si="3">AA6/AO6</f>
        <v>0.25</v>
      </c>
      <c r="AT6" s="7">
        <f t="shared" ref="AT6:AT69" si="4">((AB6*0.03)/AP6)*100</f>
        <v>31.578947368421051</v>
      </c>
      <c r="AU6" s="7">
        <f t="shared" ref="AU6:AU69" si="5">((AC6*0.03)/AP6)*100</f>
        <v>0</v>
      </c>
      <c r="AV6" s="7">
        <f t="shared" ref="AV6:AV69" si="6">((AD6*0.03)/AP6)*100</f>
        <v>0</v>
      </c>
      <c r="AW6" s="7">
        <f t="shared" ref="AW6:AW69" si="7">((AE6*0.03)/AP6)*100</f>
        <v>15.789473684210526</v>
      </c>
      <c r="AX6" s="7">
        <f t="shared" ref="AX6:AX69" si="8">(((AA6+AC6+AE6)*0.03)/AP6)*100</f>
        <v>31.578947368421051</v>
      </c>
      <c r="AY6" s="7">
        <v>0.25</v>
      </c>
      <c r="AZ6" s="18">
        <v>9.5</v>
      </c>
      <c r="BA6" s="18">
        <v>38</v>
      </c>
      <c r="BB6" s="7">
        <v>1</v>
      </c>
      <c r="BC6" s="7">
        <v>62</v>
      </c>
      <c r="BD6" s="7">
        <f t="shared" ref="BD6:BD69" si="9">BC6/AO6</f>
        <v>15.5</v>
      </c>
      <c r="BE6" s="7">
        <v>0</v>
      </c>
      <c r="BF6" s="1">
        <v>0</v>
      </c>
      <c r="BG6" s="7">
        <v>3800</v>
      </c>
      <c r="BH6" s="7">
        <v>30000</v>
      </c>
      <c r="BI6" s="7">
        <v>800</v>
      </c>
      <c r="BJ6" s="7">
        <v>16</v>
      </c>
      <c r="BK6" s="1">
        <v>2</v>
      </c>
      <c r="BL6" s="1"/>
      <c r="BM6" s="1"/>
      <c r="BN6" s="1"/>
      <c r="BO6" s="1"/>
      <c r="BP6" s="1"/>
      <c r="BQ6" s="1"/>
      <c r="BR6" s="1">
        <v>2</v>
      </c>
      <c r="BS6" s="1"/>
      <c r="BT6" s="1">
        <v>1</v>
      </c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7">
        <v>2</v>
      </c>
      <c r="CV6" s="7">
        <v>2</v>
      </c>
      <c r="CW6" s="7">
        <v>0</v>
      </c>
      <c r="CX6" s="7">
        <v>8</v>
      </c>
      <c r="CY6" s="1">
        <v>4</v>
      </c>
      <c r="CZ6" s="1"/>
      <c r="DA6" s="7">
        <v>1</v>
      </c>
      <c r="DB6" s="1"/>
      <c r="DC6" s="1"/>
      <c r="DD6" s="1"/>
      <c r="DE6" s="1"/>
      <c r="DF6" s="1">
        <v>1</v>
      </c>
      <c r="DG6" s="1"/>
      <c r="DH6" s="1"/>
      <c r="DI6" s="1"/>
      <c r="DJ6" s="1">
        <v>1</v>
      </c>
      <c r="DK6" s="1"/>
      <c r="DL6" s="1"/>
      <c r="DM6" s="1">
        <v>1</v>
      </c>
      <c r="DN6" s="1"/>
      <c r="DO6" s="1"/>
      <c r="DP6" s="1"/>
      <c r="DQ6" s="1">
        <v>1</v>
      </c>
      <c r="DR6" s="1"/>
      <c r="DS6" s="1"/>
      <c r="DT6" s="7">
        <v>3</v>
      </c>
      <c r="DU6" s="7">
        <v>1</v>
      </c>
      <c r="DV6" s="7">
        <v>116900</v>
      </c>
      <c r="DW6" s="1"/>
      <c r="DX6" s="7">
        <v>800</v>
      </c>
      <c r="DY6" s="7">
        <v>1700</v>
      </c>
      <c r="DZ6" s="1"/>
      <c r="EA6" s="1"/>
      <c r="EB6" s="1"/>
      <c r="EC6" s="1" t="s">
        <v>111</v>
      </c>
      <c r="ED6" s="1" t="s">
        <v>112</v>
      </c>
      <c r="EE6" s="1">
        <v>1</v>
      </c>
      <c r="EF6" s="1">
        <v>1</v>
      </c>
      <c r="EG6" s="1" t="s">
        <v>113</v>
      </c>
      <c r="EH6" s="1" t="s">
        <v>114</v>
      </c>
      <c r="EI6" s="1" t="s">
        <v>111</v>
      </c>
      <c r="EJ6" s="1" t="s">
        <v>114</v>
      </c>
      <c r="EK6" s="1">
        <v>5</v>
      </c>
      <c r="EL6" s="1">
        <v>5</v>
      </c>
    </row>
    <row r="7" spans="1:142" x14ac:dyDescent="0.25">
      <c r="A7" s="5">
        <v>3</v>
      </c>
      <c r="B7" s="37" t="s">
        <v>118</v>
      </c>
      <c r="C7" s="1" t="s">
        <v>119</v>
      </c>
      <c r="D7" s="35">
        <v>45366</v>
      </c>
      <c r="E7" s="1">
        <v>5</v>
      </c>
      <c r="F7" s="36">
        <v>2</v>
      </c>
      <c r="G7" s="1">
        <v>1</v>
      </c>
      <c r="H7" s="1">
        <v>37</v>
      </c>
      <c r="I7" s="1">
        <v>1</v>
      </c>
      <c r="J7" s="1">
        <v>10</v>
      </c>
      <c r="K7" s="1">
        <v>10</v>
      </c>
      <c r="L7" s="1">
        <f t="shared" si="0"/>
        <v>3</v>
      </c>
      <c r="M7" s="1" t="s">
        <v>107</v>
      </c>
      <c r="N7" s="1" t="s">
        <v>120</v>
      </c>
      <c r="O7" s="1" t="s">
        <v>109</v>
      </c>
      <c r="P7" s="1" t="s">
        <v>110</v>
      </c>
      <c r="Q7" s="1" t="s">
        <v>110</v>
      </c>
      <c r="R7" s="7">
        <v>3</v>
      </c>
      <c r="S7" s="1">
        <v>12</v>
      </c>
      <c r="T7" s="1">
        <v>1.2644</v>
      </c>
      <c r="U7" s="1">
        <v>1</v>
      </c>
      <c r="V7" s="1"/>
      <c r="W7" s="1"/>
      <c r="X7" s="1"/>
      <c r="Y7" s="1">
        <v>1</v>
      </c>
      <c r="Z7" s="3">
        <v>5</v>
      </c>
      <c r="AA7" s="3">
        <v>1</v>
      </c>
      <c r="AB7" s="3">
        <v>1</v>
      </c>
      <c r="AC7" s="3"/>
      <c r="AD7" s="3">
        <v>2</v>
      </c>
      <c r="AE7" s="3">
        <v>5</v>
      </c>
      <c r="AF7" s="1"/>
      <c r="AG7" s="1">
        <v>1</v>
      </c>
      <c r="AH7" s="1"/>
      <c r="AI7" s="1"/>
      <c r="AJ7" s="1"/>
      <c r="AK7" s="1"/>
      <c r="AL7" s="1">
        <v>2</v>
      </c>
      <c r="AM7" s="1">
        <v>12</v>
      </c>
      <c r="AN7" s="1">
        <v>30</v>
      </c>
      <c r="AO7" s="7">
        <v>14</v>
      </c>
      <c r="AP7" s="7">
        <f t="shared" ref="AP7:AP70" si="10">(AD7+AE7)*0.1+(AB7+AC7+Z7+AA7)*0.03</f>
        <v>0.91</v>
      </c>
      <c r="AQ7" s="7">
        <f t="shared" si="1"/>
        <v>19.780219780219781</v>
      </c>
      <c r="AR7" s="7">
        <f t="shared" si="2"/>
        <v>0.35714285714285715</v>
      </c>
      <c r="AS7" s="7">
        <f t="shared" si="3"/>
        <v>7.1428571428571425E-2</v>
      </c>
      <c r="AT7" s="7">
        <f t="shared" si="4"/>
        <v>3.296703296703297</v>
      </c>
      <c r="AU7" s="7">
        <f t="shared" si="5"/>
        <v>0</v>
      </c>
      <c r="AV7" s="7">
        <f t="shared" si="6"/>
        <v>6.593406593406594</v>
      </c>
      <c r="AW7" s="7">
        <f t="shared" si="7"/>
        <v>16.483516483516482</v>
      </c>
      <c r="AX7" s="7">
        <f t="shared" si="8"/>
        <v>19.780219780219781</v>
      </c>
      <c r="AY7" s="7">
        <v>0.5</v>
      </c>
      <c r="AZ7" s="18">
        <v>9.5714285714285712</v>
      </c>
      <c r="BA7" s="18">
        <v>134</v>
      </c>
      <c r="BB7" s="7">
        <v>1.2</v>
      </c>
      <c r="BC7" s="7">
        <v>216</v>
      </c>
      <c r="BD7" s="7">
        <f t="shared" si="9"/>
        <v>15.428571428571429</v>
      </c>
      <c r="BE7" s="7">
        <v>2</v>
      </c>
      <c r="BF7" s="1">
        <v>250</v>
      </c>
      <c r="BG7" s="7">
        <v>13800</v>
      </c>
      <c r="BH7" s="7">
        <v>30000</v>
      </c>
      <c r="BI7" s="7">
        <v>2900</v>
      </c>
      <c r="BJ7" s="7">
        <v>58</v>
      </c>
      <c r="BK7" s="1">
        <v>1</v>
      </c>
      <c r="BL7" s="1"/>
      <c r="BM7" s="1"/>
      <c r="BN7" s="1"/>
      <c r="BO7" s="1"/>
      <c r="BP7" s="1"/>
      <c r="BQ7" s="1">
        <v>5</v>
      </c>
      <c r="BR7" s="1">
        <v>1</v>
      </c>
      <c r="BS7" s="1"/>
      <c r="BT7" s="1">
        <v>1</v>
      </c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7">
        <v>6</v>
      </c>
      <c r="CV7" s="7">
        <v>2</v>
      </c>
      <c r="CW7" s="7">
        <v>0</v>
      </c>
      <c r="CX7" s="7">
        <v>8</v>
      </c>
      <c r="CY7" s="1">
        <v>4</v>
      </c>
      <c r="CZ7" s="1"/>
      <c r="DA7" s="7">
        <v>1</v>
      </c>
      <c r="DB7" s="1"/>
      <c r="DC7" s="1">
        <v>1</v>
      </c>
      <c r="DD7" s="1"/>
      <c r="DE7" s="1"/>
      <c r="DF7" s="1">
        <v>1</v>
      </c>
      <c r="DG7" s="1"/>
      <c r="DH7" s="1"/>
      <c r="DI7" s="1"/>
      <c r="DJ7" s="1">
        <v>1</v>
      </c>
      <c r="DK7" s="1"/>
      <c r="DL7" s="1"/>
      <c r="DM7" s="1">
        <v>1</v>
      </c>
      <c r="DN7" s="1"/>
      <c r="DO7" s="1">
        <v>1</v>
      </c>
      <c r="DP7" s="1"/>
      <c r="DQ7" s="1">
        <v>1</v>
      </c>
      <c r="DR7" s="1"/>
      <c r="DS7" s="1"/>
      <c r="DT7" s="7">
        <v>3</v>
      </c>
      <c r="DU7" s="7">
        <v>2</v>
      </c>
      <c r="DV7" s="1"/>
      <c r="DW7" s="1"/>
      <c r="DX7" s="7">
        <v>2200</v>
      </c>
      <c r="DY7" s="7">
        <v>3300</v>
      </c>
      <c r="DZ7" s="1"/>
      <c r="EA7" s="1"/>
      <c r="EB7" s="1"/>
      <c r="EC7" s="1" t="s">
        <v>111</v>
      </c>
      <c r="ED7" s="1" t="s">
        <v>112</v>
      </c>
      <c r="EE7" s="1">
        <v>1</v>
      </c>
      <c r="EF7" s="1">
        <v>1</v>
      </c>
      <c r="EG7" s="1" t="s">
        <v>113</v>
      </c>
      <c r="EH7" s="1" t="s">
        <v>114</v>
      </c>
      <c r="EI7" s="1" t="s">
        <v>111</v>
      </c>
      <c r="EJ7" s="1" t="s">
        <v>114</v>
      </c>
      <c r="EK7" s="1">
        <v>6</v>
      </c>
      <c r="EL7" s="1">
        <v>4</v>
      </c>
    </row>
    <row r="8" spans="1:142" x14ac:dyDescent="0.25">
      <c r="A8" s="5">
        <v>4</v>
      </c>
      <c r="B8" s="17" t="s">
        <v>121</v>
      </c>
      <c r="C8" s="1" t="s">
        <v>122</v>
      </c>
      <c r="D8" s="35">
        <v>45366</v>
      </c>
      <c r="E8" s="1">
        <v>2</v>
      </c>
      <c r="F8" s="36"/>
      <c r="G8" s="1">
        <v>1</v>
      </c>
      <c r="H8" s="1">
        <v>34</v>
      </c>
      <c r="I8" s="1">
        <v>5</v>
      </c>
      <c r="J8" s="1">
        <v>4</v>
      </c>
      <c r="K8" s="1">
        <v>10</v>
      </c>
      <c r="L8" s="1">
        <f t="shared" si="0"/>
        <v>3</v>
      </c>
      <c r="M8" s="1" t="s">
        <v>107</v>
      </c>
      <c r="N8" s="1" t="s">
        <v>120</v>
      </c>
      <c r="O8" s="1" t="s">
        <v>117</v>
      </c>
      <c r="P8" s="1" t="s">
        <v>110</v>
      </c>
      <c r="Q8" s="1" t="s">
        <v>110</v>
      </c>
      <c r="R8" s="7">
        <v>1</v>
      </c>
      <c r="S8" s="1">
        <v>3</v>
      </c>
      <c r="T8" s="1">
        <v>0.50575999999999999</v>
      </c>
      <c r="U8" s="1"/>
      <c r="V8" s="1"/>
      <c r="W8" s="1"/>
      <c r="X8" s="1"/>
      <c r="Y8" s="1"/>
      <c r="Z8" s="3">
        <v>1</v>
      </c>
      <c r="AA8" s="3">
        <v>1</v>
      </c>
      <c r="AB8" s="3"/>
      <c r="AC8" s="3"/>
      <c r="AD8" s="3"/>
      <c r="AE8" s="3">
        <v>2</v>
      </c>
      <c r="AF8" s="1"/>
      <c r="AG8" s="1">
        <v>1</v>
      </c>
      <c r="AH8" s="1"/>
      <c r="AI8" s="1"/>
      <c r="AJ8" s="1"/>
      <c r="AK8" s="1"/>
      <c r="AL8" s="1"/>
      <c r="AM8" s="1"/>
      <c r="AN8" s="1">
        <v>10</v>
      </c>
      <c r="AO8" s="7">
        <v>4</v>
      </c>
      <c r="AP8" s="7">
        <f t="shared" si="10"/>
        <v>0.26</v>
      </c>
      <c r="AQ8" s="7">
        <f t="shared" si="1"/>
        <v>23.076923076923077</v>
      </c>
      <c r="AR8" s="7">
        <f t="shared" si="2"/>
        <v>0.25</v>
      </c>
      <c r="AS8" s="7">
        <f t="shared" si="3"/>
        <v>0.25</v>
      </c>
      <c r="AT8" s="7">
        <f t="shared" si="4"/>
        <v>0</v>
      </c>
      <c r="AU8" s="7">
        <f t="shared" si="5"/>
        <v>0</v>
      </c>
      <c r="AV8" s="7">
        <f t="shared" si="6"/>
        <v>0</v>
      </c>
      <c r="AW8" s="7">
        <f t="shared" si="7"/>
        <v>23.076923076923077</v>
      </c>
      <c r="AX8" s="7">
        <f t="shared" si="8"/>
        <v>34.615384615384613</v>
      </c>
      <c r="AY8" s="7">
        <v>0.5</v>
      </c>
      <c r="AZ8" s="18">
        <v>9</v>
      </c>
      <c r="BA8" s="18">
        <v>36</v>
      </c>
      <c r="BB8" s="7">
        <v>1</v>
      </c>
      <c r="BC8" s="7">
        <v>53</v>
      </c>
      <c r="BD8" s="7">
        <f t="shared" si="9"/>
        <v>13.25</v>
      </c>
      <c r="BE8" s="7">
        <v>1</v>
      </c>
      <c r="BF8" s="1">
        <v>200</v>
      </c>
      <c r="BG8" s="7">
        <v>3620</v>
      </c>
      <c r="BH8" s="7">
        <v>15000</v>
      </c>
      <c r="BI8" s="7">
        <v>800</v>
      </c>
      <c r="BJ8" s="7">
        <v>16</v>
      </c>
      <c r="BK8" s="1"/>
      <c r="BL8" s="1"/>
      <c r="BM8" s="1"/>
      <c r="BN8" s="1"/>
      <c r="BO8" s="1"/>
      <c r="BP8" s="1"/>
      <c r="BQ8" s="1">
        <v>1</v>
      </c>
      <c r="BR8" s="1"/>
      <c r="BS8" s="1"/>
      <c r="BT8" s="1">
        <v>1</v>
      </c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7">
        <v>2</v>
      </c>
      <c r="CV8" s="7">
        <v>2</v>
      </c>
      <c r="CW8" s="7">
        <v>0</v>
      </c>
      <c r="CX8" s="7">
        <v>8</v>
      </c>
      <c r="CY8" s="1">
        <v>2</v>
      </c>
      <c r="CZ8" s="1"/>
      <c r="DA8" s="7">
        <v>1</v>
      </c>
      <c r="DB8" s="1"/>
      <c r="DC8" s="1"/>
      <c r="DD8" s="1"/>
      <c r="DE8" s="1"/>
      <c r="DF8" s="1">
        <v>1</v>
      </c>
      <c r="DG8" s="1"/>
      <c r="DH8" s="1"/>
      <c r="DI8" s="1"/>
      <c r="DJ8" s="1">
        <v>1</v>
      </c>
      <c r="DK8" s="1"/>
      <c r="DL8" s="1"/>
      <c r="DM8" s="1">
        <v>1</v>
      </c>
      <c r="DN8" s="1"/>
      <c r="DO8" s="1"/>
      <c r="DP8" s="1"/>
      <c r="DQ8" s="1">
        <v>1</v>
      </c>
      <c r="DR8" s="1"/>
      <c r="DS8" s="1"/>
      <c r="DT8" s="7">
        <v>3</v>
      </c>
      <c r="DU8" s="7">
        <v>2</v>
      </c>
      <c r="DV8" s="1"/>
      <c r="DW8" s="1"/>
      <c r="DX8" s="7">
        <v>800</v>
      </c>
      <c r="DY8" s="7">
        <v>1100</v>
      </c>
      <c r="DZ8" s="1"/>
      <c r="EA8" s="1"/>
      <c r="EB8" s="1"/>
      <c r="EC8" s="1" t="s">
        <v>111</v>
      </c>
      <c r="ED8" s="1" t="s">
        <v>112</v>
      </c>
      <c r="EE8" s="1">
        <v>1</v>
      </c>
      <c r="EF8" s="1">
        <v>1</v>
      </c>
      <c r="EG8" s="1" t="s">
        <v>113</v>
      </c>
      <c r="EH8" s="1" t="s">
        <v>114</v>
      </c>
      <c r="EI8" s="1" t="s">
        <v>111</v>
      </c>
      <c r="EJ8" s="1" t="s">
        <v>114</v>
      </c>
      <c r="EK8" s="1">
        <v>5</v>
      </c>
      <c r="EL8" s="1">
        <v>4</v>
      </c>
    </row>
    <row r="9" spans="1:142" x14ac:dyDescent="0.25">
      <c r="A9" s="5">
        <v>5</v>
      </c>
      <c r="B9" s="17" t="s">
        <v>123</v>
      </c>
      <c r="C9" s="1" t="s">
        <v>124</v>
      </c>
      <c r="D9" s="35">
        <v>45366</v>
      </c>
      <c r="E9" s="1">
        <v>2</v>
      </c>
      <c r="F9" s="36"/>
      <c r="G9" s="1">
        <v>1</v>
      </c>
      <c r="H9" s="1">
        <v>32</v>
      </c>
      <c r="I9" s="1">
        <v>8</v>
      </c>
      <c r="J9" s="1">
        <v>2</v>
      </c>
      <c r="K9" s="1">
        <v>0</v>
      </c>
      <c r="L9" s="1">
        <f t="shared" si="0"/>
        <v>0</v>
      </c>
      <c r="M9" s="1" t="s">
        <v>107</v>
      </c>
      <c r="N9" s="1" t="s">
        <v>120</v>
      </c>
      <c r="O9" s="1" t="s">
        <v>109</v>
      </c>
      <c r="P9" s="1" t="s">
        <v>110</v>
      </c>
      <c r="Q9" s="1" t="s">
        <v>110</v>
      </c>
      <c r="R9" s="7">
        <v>1</v>
      </c>
      <c r="S9" s="1">
        <v>4</v>
      </c>
      <c r="T9" s="1">
        <v>0</v>
      </c>
      <c r="U9" s="1"/>
      <c r="V9" s="1"/>
      <c r="W9" s="1"/>
      <c r="X9" s="1"/>
      <c r="Y9" s="1"/>
      <c r="Z9" s="3"/>
      <c r="AA9" s="3">
        <v>1</v>
      </c>
      <c r="AB9" s="3">
        <v>2</v>
      </c>
      <c r="AC9" s="3">
        <v>2</v>
      </c>
      <c r="AD9" s="3"/>
      <c r="AE9" s="3"/>
      <c r="AF9" s="1"/>
      <c r="AG9" s="1"/>
      <c r="AH9" s="1"/>
      <c r="AI9" s="1"/>
      <c r="AJ9" s="1"/>
      <c r="AK9" s="1"/>
      <c r="AL9" s="1"/>
      <c r="AM9" s="1"/>
      <c r="AN9" s="1">
        <v>7</v>
      </c>
      <c r="AO9" s="7">
        <v>5</v>
      </c>
      <c r="AP9" s="7">
        <f t="shared" si="10"/>
        <v>0.15</v>
      </c>
      <c r="AQ9" s="7">
        <f t="shared" si="1"/>
        <v>20</v>
      </c>
      <c r="AR9" s="7">
        <f t="shared" si="2"/>
        <v>0</v>
      </c>
      <c r="AS9" s="7">
        <f t="shared" si="3"/>
        <v>0.2</v>
      </c>
      <c r="AT9" s="7">
        <f t="shared" si="4"/>
        <v>40</v>
      </c>
      <c r="AU9" s="7">
        <f t="shared" si="5"/>
        <v>40</v>
      </c>
      <c r="AV9" s="7">
        <f t="shared" si="6"/>
        <v>0</v>
      </c>
      <c r="AW9" s="7">
        <f t="shared" si="7"/>
        <v>0</v>
      </c>
      <c r="AX9" s="7">
        <f t="shared" si="8"/>
        <v>60</v>
      </c>
      <c r="AY9" s="7">
        <v>0</v>
      </c>
      <c r="AZ9" s="18">
        <v>9</v>
      </c>
      <c r="BA9" s="18">
        <v>45</v>
      </c>
      <c r="BB9" s="7">
        <v>0</v>
      </c>
      <c r="BC9" s="7">
        <v>72</v>
      </c>
      <c r="BD9" s="7">
        <f t="shared" si="9"/>
        <v>14.4</v>
      </c>
      <c r="BE9" s="7">
        <v>0</v>
      </c>
      <c r="BF9" s="1">
        <v>0</v>
      </c>
      <c r="BG9" s="7">
        <v>4640</v>
      </c>
      <c r="BH9" s="7">
        <v>15000</v>
      </c>
      <c r="BI9" s="7">
        <v>1100</v>
      </c>
      <c r="BJ9" s="7">
        <v>22</v>
      </c>
      <c r="BK9" s="1"/>
      <c r="BL9" s="1"/>
      <c r="BM9" s="1"/>
      <c r="BN9" s="1">
        <v>1</v>
      </c>
      <c r="BO9" s="1"/>
      <c r="BP9" s="1"/>
      <c r="BQ9" s="1"/>
      <c r="BR9" s="1">
        <v>2</v>
      </c>
      <c r="BS9" s="1"/>
      <c r="BT9" s="1"/>
      <c r="BU9" s="1">
        <v>2</v>
      </c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>
        <v>2</v>
      </c>
      <c r="CN9" s="1"/>
      <c r="CO9" s="1"/>
      <c r="CP9" s="1"/>
      <c r="CQ9" s="1"/>
      <c r="CR9" s="1"/>
      <c r="CS9" s="1"/>
      <c r="CT9" s="1"/>
      <c r="CU9" s="7">
        <v>2</v>
      </c>
      <c r="CV9" s="7">
        <v>2</v>
      </c>
      <c r="CW9" s="7">
        <v>0</v>
      </c>
      <c r="CX9" s="7">
        <v>8</v>
      </c>
      <c r="CY9" s="1">
        <v>2</v>
      </c>
      <c r="CZ9" s="1"/>
      <c r="DA9" s="7">
        <v>1</v>
      </c>
      <c r="DB9" s="1"/>
      <c r="DC9" s="1"/>
      <c r="DD9" s="1"/>
      <c r="DE9" s="1"/>
      <c r="DF9" s="1">
        <v>1</v>
      </c>
      <c r="DG9" s="1"/>
      <c r="DH9" s="1"/>
      <c r="DI9" s="1"/>
      <c r="DJ9" s="1">
        <v>1</v>
      </c>
      <c r="DK9" s="1"/>
      <c r="DL9" s="1"/>
      <c r="DM9" s="1">
        <v>1</v>
      </c>
      <c r="DN9" s="1"/>
      <c r="DO9" s="1"/>
      <c r="DP9" s="1"/>
      <c r="DQ9" s="1">
        <v>1</v>
      </c>
      <c r="DR9" s="1"/>
      <c r="DS9" s="1"/>
      <c r="DT9" s="7">
        <v>3</v>
      </c>
      <c r="DU9" s="7">
        <v>1</v>
      </c>
      <c r="DV9" s="7">
        <v>105200</v>
      </c>
      <c r="DW9" s="1"/>
      <c r="DX9" s="7">
        <v>900</v>
      </c>
      <c r="DY9" s="7">
        <v>1100</v>
      </c>
      <c r="DZ9" s="1"/>
      <c r="EA9" s="1"/>
      <c r="EB9" s="1"/>
      <c r="EC9" s="1" t="s">
        <v>111</v>
      </c>
      <c r="ED9" s="1" t="s">
        <v>112</v>
      </c>
      <c r="EE9" s="1">
        <v>1</v>
      </c>
      <c r="EF9" s="1">
        <v>1</v>
      </c>
      <c r="EG9" s="1" t="s">
        <v>113</v>
      </c>
      <c r="EH9" s="1" t="s">
        <v>114</v>
      </c>
      <c r="EI9" s="1" t="s">
        <v>111</v>
      </c>
      <c r="EJ9" s="1" t="s">
        <v>114</v>
      </c>
      <c r="EK9" s="1">
        <v>6</v>
      </c>
      <c r="EL9" s="1">
        <v>4</v>
      </c>
    </row>
    <row r="10" spans="1:142" x14ac:dyDescent="0.25">
      <c r="A10" s="5">
        <v>6</v>
      </c>
      <c r="B10" s="17" t="s">
        <v>125</v>
      </c>
      <c r="C10" s="1" t="s">
        <v>126</v>
      </c>
      <c r="D10" s="35">
        <v>45366</v>
      </c>
      <c r="E10" s="1">
        <v>2</v>
      </c>
      <c r="F10" s="36"/>
      <c r="G10" s="1">
        <v>1</v>
      </c>
      <c r="H10" s="1">
        <v>45</v>
      </c>
      <c r="I10" s="1">
        <v>0</v>
      </c>
      <c r="J10" s="1">
        <v>2</v>
      </c>
      <c r="K10" s="1">
        <v>0</v>
      </c>
      <c r="L10" s="1">
        <f t="shared" si="0"/>
        <v>0</v>
      </c>
      <c r="M10" s="1" t="s">
        <v>107</v>
      </c>
      <c r="N10" s="1" t="s">
        <v>127</v>
      </c>
      <c r="O10" s="1" t="s">
        <v>109</v>
      </c>
      <c r="P10" s="1" t="s">
        <v>110</v>
      </c>
      <c r="Q10" s="1" t="s">
        <v>110</v>
      </c>
      <c r="R10" s="7">
        <v>3</v>
      </c>
      <c r="S10" s="1">
        <v>5</v>
      </c>
      <c r="T10" s="1">
        <v>0</v>
      </c>
      <c r="U10" s="1"/>
      <c r="V10" s="1"/>
      <c r="W10" s="1"/>
      <c r="X10" s="1"/>
      <c r="Y10" s="1"/>
      <c r="Z10" s="3"/>
      <c r="AA10" s="3">
        <v>1</v>
      </c>
      <c r="AB10" s="3"/>
      <c r="AC10" s="3"/>
      <c r="AD10" s="3"/>
      <c r="AE10" s="3">
        <v>1</v>
      </c>
      <c r="AF10" s="1"/>
      <c r="AG10" s="1"/>
      <c r="AH10" s="1"/>
      <c r="AI10" s="1"/>
      <c r="AJ10" s="1"/>
      <c r="AK10" s="1"/>
      <c r="AL10" s="1"/>
      <c r="AM10" s="1"/>
      <c r="AN10" s="1">
        <v>9</v>
      </c>
      <c r="AO10" s="7">
        <v>2</v>
      </c>
      <c r="AP10" s="7">
        <f t="shared" si="10"/>
        <v>0.13</v>
      </c>
      <c r="AQ10" s="7">
        <f t="shared" si="1"/>
        <v>23.076923076923077</v>
      </c>
      <c r="AR10" s="7">
        <f t="shared" si="2"/>
        <v>0</v>
      </c>
      <c r="AS10" s="7">
        <f t="shared" si="3"/>
        <v>0.5</v>
      </c>
      <c r="AT10" s="7">
        <f t="shared" si="4"/>
        <v>0</v>
      </c>
      <c r="AU10" s="7">
        <f t="shared" si="5"/>
        <v>0</v>
      </c>
      <c r="AV10" s="7">
        <f t="shared" si="6"/>
        <v>0</v>
      </c>
      <c r="AW10" s="7">
        <f t="shared" si="7"/>
        <v>23.076923076923077</v>
      </c>
      <c r="AX10" s="7">
        <f t="shared" si="8"/>
        <v>46.153846153846153</v>
      </c>
      <c r="AY10" s="7">
        <v>0.5</v>
      </c>
      <c r="AZ10" s="18">
        <v>9</v>
      </c>
      <c r="BA10" s="18">
        <v>18</v>
      </c>
      <c r="BB10" s="7">
        <v>0</v>
      </c>
      <c r="BC10" s="7">
        <v>28</v>
      </c>
      <c r="BD10" s="7">
        <f t="shared" si="9"/>
        <v>14</v>
      </c>
      <c r="BE10" s="7">
        <v>0</v>
      </c>
      <c r="BF10" s="1">
        <v>0</v>
      </c>
      <c r="BG10" s="7">
        <v>1560</v>
      </c>
      <c r="BH10" s="7">
        <v>30000</v>
      </c>
      <c r="BI10" s="7">
        <v>400</v>
      </c>
      <c r="BJ10" s="7">
        <v>8</v>
      </c>
      <c r="BK10" s="1"/>
      <c r="BL10" s="1"/>
      <c r="BM10" s="1"/>
      <c r="BN10" s="1">
        <v>1</v>
      </c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>
        <v>1</v>
      </c>
      <c r="CN10" s="1"/>
      <c r="CO10" s="1"/>
      <c r="CP10" s="1"/>
      <c r="CQ10" s="1"/>
      <c r="CR10" s="1"/>
      <c r="CS10" s="1"/>
      <c r="CT10" s="1"/>
      <c r="CU10" s="7">
        <v>2</v>
      </c>
      <c r="CV10" s="7">
        <v>2</v>
      </c>
      <c r="CW10" s="7">
        <v>0</v>
      </c>
      <c r="CX10" s="7">
        <v>8</v>
      </c>
      <c r="CY10" s="1">
        <v>4</v>
      </c>
      <c r="CZ10" s="1"/>
      <c r="DA10" s="7">
        <v>1</v>
      </c>
      <c r="DB10" s="1"/>
      <c r="DC10" s="1"/>
      <c r="DD10" s="1"/>
      <c r="DE10" s="1"/>
      <c r="DF10" s="1">
        <v>1</v>
      </c>
      <c r="DG10" s="1"/>
      <c r="DH10" s="1"/>
      <c r="DI10" s="1"/>
      <c r="DJ10" s="1">
        <v>1</v>
      </c>
      <c r="DK10" s="1"/>
      <c r="DL10" s="1"/>
      <c r="DM10" s="1">
        <v>1</v>
      </c>
      <c r="DN10" s="1"/>
      <c r="DO10" s="1"/>
      <c r="DP10" s="1"/>
      <c r="DQ10" s="1">
        <v>1</v>
      </c>
      <c r="DR10" s="1"/>
      <c r="DS10" s="1"/>
      <c r="DT10" s="7">
        <v>3</v>
      </c>
      <c r="DU10" s="7">
        <v>2</v>
      </c>
      <c r="DV10" s="1"/>
      <c r="DW10" s="1"/>
      <c r="DX10" s="7">
        <v>500</v>
      </c>
      <c r="DY10" s="7">
        <v>900</v>
      </c>
      <c r="DZ10" s="1"/>
      <c r="EA10" s="1"/>
      <c r="EB10" s="1"/>
      <c r="EC10" s="1" t="s">
        <v>111</v>
      </c>
      <c r="ED10" s="1" t="s">
        <v>112</v>
      </c>
      <c r="EE10" s="1">
        <v>1</v>
      </c>
      <c r="EF10" s="1">
        <v>1</v>
      </c>
      <c r="EG10" s="1" t="s">
        <v>113</v>
      </c>
      <c r="EH10" s="1" t="s">
        <v>114</v>
      </c>
      <c r="EI10" s="1" t="s">
        <v>111</v>
      </c>
      <c r="EJ10" s="1" t="s">
        <v>114</v>
      </c>
      <c r="EK10" s="1">
        <v>5</v>
      </c>
      <c r="EL10" s="1">
        <v>4</v>
      </c>
    </row>
    <row r="11" spans="1:142" x14ac:dyDescent="0.25">
      <c r="A11" s="5">
        <v>7</v>
      </c>
      <c r="B11" s="17" t="s">
        <v>128</v>
      </c>
      <c r="C11" s="1" t="s">
        <v>129</v>
      </c>
      <c r="D11" s="35">
        <v>45366</v>
      </c>
      <c r="E11" s="1">
        <v>2</v>
      </c>
      <c r="F11" s="36">
        <v>1</v>
      </c>
      <c r="G11" s="1">
        <v>1</v>
      </c>
      <c r="H11" s="1">
        <v>38</v>
      </c>
      <c r="I11" s="1">
        <v>3</v>
      </c>
      <c r="J11" s="1">
        <v>2</v>
      </c>
      <c r="K11" s="1">
        <v>0</v>
      </c>
      <c r="L11" s="1">
        <f t="shared" si="0"/>
        <v>0</v>
      </c>
      <c r="M11" s="1" t="s">
        <v>107</v>
      </c>
      <c r="N11" s="1" t="s">
        <v>120</v>
      </c>
      <c r="O11" s="1" t="s">
        <v>109</v>
      </c>
      <c r="P11" s="1" t="s">
        <v>110</v>
      </c>
      <c r="Q11" s="1" t="s">
        <v>110</v>
      </c>
      <c r="R11" s="7">
        <v>3</v>
      </c>
      <c r="S11" s="1">
        <v>6</v>
      </c>
      <c r="T11" s="1">
        <v>0</v>
      </c>
      <c r="U11" s="1">
        <v>2</v>
      </c>
      <c r="V11" s="1">
        <v>1</v>
      </c>
      <c r="W11" s="1"/>
      <c r="X11" s="1"/>
      <c r="Y11" s="1">
        <v>1</v>
      </c>
      <c r="Z11" s="3"/>
      <c r="AA11" s="3"/>
      <c r="AB11" s="3"/>
      <c r="AC11" s="3"/>
      <c r="AD11" s="3"/>
      <c r="AE11" s="3">
        <v>1</v>
      </c>
      <c r="AF11" s="1"/>
      <c r="AG11" s="1">
        <v>1</v>
      </c>
      <c r="AH11" s="1"/>
      <c r="AI11" s="1"/>
      <c r="AJ11" s="1"/>
      <c r="AK11" s="1"/>
      <c r="AL11" s="1">
        <v>2</v>
      </c>
      <c r="AM11" s="1">
        <v>1</v>
      </c>
      <c r="AN11" s="1">
        <v>10</v>
      </c>
      <c r="AO11" s="7">
        <v>1</v>
      </c>
      <c r="AP11" s="7">
        <f t="shared" si="10"/>
        <v>0.1</v>
      </c>
      <c r="AQ11" s="7">
        <f t="shared" si="1"/>
        <v>0</v>
      </c>
      <c r="AR11" s="7">
        <f t="shared" si="2"/>
        <v>0</v>
      </c>
      <c r="AS11" s="7">
        <f t="shared" si="3"/>
        <v>0</v>
      </c>
      <c r="AT11" s="7">
        <f t="shared" si="4"/>
        <v>0</v>
      </c>
      <c r="AU11" s="7">
        <f t="shared" si="5"/>
        <v>0</v>
      </c>
      <c r="AV11" s="7">
        <f t="shared" si="6"/>
        <v>0</v>
      </c>
      <c r="AW11" s="7">
        <f t="shared" si="7"/>
        <v>30</v>
      </c>
      <c r="AX11" s="7">
        <f t="shared" si="8"/>
        <v>30</v>
      </c>
      <c r="AY11" s="7">
        <v>1</v>
      </c>
      <c r="AZ11" s="18">
        <v>14</v>
      </c>
      <c r="BA11" s="18">
        <v>14</v>
      </c>
      <c r="BB11" s="7">
        <v>0</v>
      </c>
      <c r="BC11" s="7">
        <v>22</v>
      </c>
      <c r="BD11" s="7">
        <f t="shared" si="9"/>
        <v>22</v>
      </c>
      <c r="BE11" s="7">
        <v>0</v>
      </c>
      <c r="BF11" s="1">
        <v>0</v>
      </c>
      <c r="BG11" s="7">
        <v>1630</v>
      </c>
      <c r="BH11" s="7">
        <v>15000</v>
      </c>
      <c r="BI11" s="7">
        <v>200</v>
      </c>
      <c r="BJ11" s="7">
        <v>4</v>
      </c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>
        <v>1</v>
      </c>
      <c r="CK11" s="1"/>
      <c r="CL11" s="1"/>
      <c r="CM11" s="1">
        <v>1</v>
      </c>
      <c r="CN11" s="1"/>
      <c r="CO11" s="1"/>
      <c r="CP11" s="1"/>
      <c r="CQ11" s="1"/>
      <c r="CR11" s="1"/>
      <c r="CS11" s="1"/>
      <c r="CT11" s="1"/>
      <c r="CU11" s="7">
        <v>2</v>
      </c>
      <c r="CV11" s="7">
        <v>2</v>
      </c>
      <c r="CW11" s="7">
        <v>0</v>
      </c>
      <c r="CX11" s="7">
        <v>8</v>
      </c>
      <c r="CY11" s="1">
        <v>2</v>
      </c>
      <c r="CZ11" s="1"/>
      <c r="DA11" s="7">
        <v>1</v>
      </c>
      <c r="DB11" s="1"/>
      <c r="DC11" s="1">
        <v>1</v>
      </c>
      <c r="DD11" s="1"/>
      <c r="DE11" s="1"/>
      <c r="DF11" s="1">
        <v>1</v>
      </c>
      <c r="DG11" s="1"/>
      <c r="DH11" s="1"/>
      <c r="DI11" s="1"/>
      <c r="DJ11" s="1">
        <v>1</v>
      </c>
      <c r="DK11" s="1"/>
      <c r="DL11" s="1"/>
      <c r="DM11" s="1">
        <v>1</v>
      </c>
      <c r="DN11" s="1"/>
      <c r="DO11" s="1">
        <v>1</v>
      </c>
      <c r="DP11" s="1"/>
      <c r="DQ11" s="1">
        <v>1</v>
      </c>
      <c r="DR11" s="1"/>
      <c r="DS11" s="1"/>
      <c r="DT11" s="7">
        <v>3</v>
      </c>
      <c r="DU11" s="7">
        <v>2</v>
      </c>
      <c r="DV11" s="1"/>
      <c r="DW11" s="1"/>
      <c r="DX11" s="7">
        <v>300</v>
      </c>
      <c r="DY11" s="7">
        <v>700</v>
      </c>
      <c r="DZ11" s="1"/>
      <c r="EA11" s="1"/>
      <c r="EB11" s="1"/>
      <c r="EC11" s="1" t="s">
        <v>111</v>
      </c>
      <c r="ED11" s="1" t="s">
        <v>112</v>
      </c>
      <c r="EE11" s="1">
        <v>1</v>
      </c>
      <c r="EF11" s="1">
        <v>1</v>
      </c>
      <c r="EG11" s="1" t="s">
        <v>113</v>
      </c>
      <c r="EH11" s="1" t="s">
        <v>114</v>
      </c>
      <c r="EI11" s="1" t="s">
        <v>111</v>
      </c>
      <c r="EJ11" s="1" t="s">
        <v>114</v>
      </c>
      <c r="EK11" s="1">
        <v>5</v>
      </c>
      <c r="EL11" s="1">
        <v>4</v>
      </c>
    </row>
    <row r="12" spans="1:142" x14ac:dyDescent="0.25">
      <c r="A12" s="5">
        <v>8</v>
      </c>
      <c r="B12" s="17" t="s">
        <v>130</v>
      </c>
      <c r="C12" s="1" t="s">
        <v>131</v>
      </c>
      <c r="D12" s="35">
        <v>45370</v>
      </c>
      <c r="E12" s="1">
        <v>2</v>
      </c>
      <c r="F12" s="36"/>
      <c r="G12" s="1">
        <v>1</v>
      </c>
      <c r="H12" s="1">
        <v>30</v>
      </c>
      <c r="I12" s="1">
        <v>0</v>
      </c>
      <c r="J12" s="1">
        <v>4</v>
      </c>
      <c r="K12" s="1">
        <v>5</v>
      </c>
      <c r="L12" s="1">
        <f t="shared" si="0"/>
        <v>1</v>
      </c>
      <c r="M12" s="1" t="s">
        <v>107</v>
      </c>
      <c r="N12" s="1" t="s">
        <v>108</v>
      </c>
      <c r="O12" s="1" t="s">
        <v>109</v>
      </c>
      <c r="P12" s="1" t="s">
        <v>110</v>
      </c>
      <c r="Q12" s="1" t="s">
        <v>110</v>
      </c>
      <c r="R12" s="7">
        <v>1</v>
      </c>
      <c r="S12" s="1">
        <v>4</v>
      </c>
      <c r="T12" s="1">
        <v>0</v>
      </c>
      <c r="U12" s="1"/>
      <c r="V12" s="1"/>
      <c r="W12" s="1"/>
      <c r="X12" s="1"/>
      <c r="Y12" s="1"/>
      <c r="Z12" s="3">
        <v>1</v>
      </c>
      <c r="AA12" s="3"/>
      <c r="AB12" s="3"/>
      <c r="AC12" s="3"/>
      <c r="AD12" s="3"/>
      <c r="AE12" s="3">
        <v>1</v>
      </c>
      <c r="AF12" s="1"/>
      <c r="AG12" s="1">
        <v>1</v>
      </c>
      <c r="AH12" s="1"/>
      <c r="AI12" s="1"/>
      <c r="AJ12" s="1"/>
      <c r="AK12" s="1"/>
      <c r="AL12" s="1">
        <v>2</v>
      </c>
      <c r="AM12" s="1">
        <v>2</v>
      </c>
      <c r="AN12" s="1">
        <v>10</v>
      </c>
      <c r="AO12" s="7">
        <v>2</v>
      </c>
      <c r="AP12" s="7">
        <f t="shared" si="10"/>
        <v>0.13</v>
      </c>
      <c r="AQ12" s="7">
        <f t="shared" si="1"/>
        <v>23.076923076923077</v>
      </c>
      <c r="AR12" s="7">
        <f t="shared" si="2"/>
        <v>0.5</v>
      </c>
      <c r="AS12" s="7">
        <f t="shared" si="3"/>
        <v>0</v>
      </c>
      <c r="AT12" s="7">
        <f t="shared" si="4"/>
        <v>0</v>
      </c>
      <c r="AU12" s="7">
        <f t="shared" si="5"/>
        <v>0</v>
      </c>
      <c r="AV12" s="7">
        <f t="shared" si="6"/>
        <v>0</v>
      </c>
      <c r="AW12" s="7">
        <f t="shared" si="7"/>
        <v>23.076923076923077</v>
      </c>
      <c r="AX12" s="7">
        <f t="shared" si="8"/>
        <v>23.076923076923077</v>
      </c>
      <c r="AY12" s="7">
        <v>0.5</v>
      </c>
      <c r="AZ12" s="18">
        <v>8</v>
      </c>
      <c r="BA12" s="18">
        <v>16</v>
      </c>
      <c r="BB12" s="7">
        <v>0</v>
      </c>
      <c r="BC12" s="7">
        <v>26</v>
      </c>
      <c r="BD12" s="7">
        <f t="shared" si="9"/>
        <v>13</v>
      </c>
      <c r="BE12" s="7">
        <v>0</v>
      </c>
      <c r="BF12" s="1">
        <v>0</v>
      </c>
      <c r="BG12" s="7">
        <v>1660</v>
      </c>
      <c r="BH12" s="7">
        <v>30000</v>
      </c>
      <c r="BI12" s="7">
        <v>500</v>
      </c>
      <c r="BJ12" s="7">
        <v>10</v>
      </c>
      <c r="BK12" s="1">
        <v>1</v>
      </c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>
        <v>1</v>
      </c>
      <c r="CN12" s="1"/>
      <c r="CO12" s="1"/>
      <c r="CP12" s="1"/>
      <c r="CQ12" s="1"/>
      <c r="CR12" s="1"/>
      <c r="CS12" s="1"/>
      <c r="CT12" s="1"/>
      <c r="CU12" s="7">
        <v>2</v>
      </c>
      <c r="CV12" s="7">
        <v>2</v>
      </c>
      <c r="CW12" s="7">
        <v>0</v>
      </c>
      <c r="CX12" s="7">
        <v>8</v>
      </c>
      <c r="CY12" s="1">
        <v>4</v>
      </c>
      <c r="CZ12" s="1"/>
      <c r="DA12" s="7">
        <v>1</v>
      </c>
      <c r="DB12" s="1"/>
      <c r="DC12" s="1">
        <v>1</v>
      </c>
      <c r="DD12" s="1"/>
      <c r="DE12" s="1"/>
      <c r="DF12" s="1">
        <v>1</v>
      </c>
      <c r="DG12" s="1"/>
      <c r="DH12" s="1"/>
      <c r="DI12" s="1"/>
      <c r="DJ12" s="1">
        <v>1</v>
      </c>
      <c r="DK12" s="1"/>
      <c r="DL12" s="1"/>
      <c r="DM12" s="1">
        <v>1</v>
      </c>
      <c r="DN12" s="1"/>
      <c r="DO12" s="1">
        <v>1</v>
      </c>
      <c r="DP12" s="1"/>
      <c r="DQ12" s="1">
        <v>1</v>
      </c>
      <c r="DR12" s="1"/>
      <c r="DS12" s="1"/>
      <c r="DT12" s="7">
        <v>3</v>
      </c>
      <c r="DU12" s="7">
        <v>3</v>
      </c>
      <c r="DV12" s="1"/>
      <c r="DW12" s="1"/>
      <c r="DX12" s="7">
        <v>500</v>
      </c>
      <c r="DY12" s="7">
        <v>1100</v>
      </c>
      <c r="DZ12" s="1"/>
      <c r="EA12" s="1"/>
      <c r="EB12" s="1"/>
      <c r="EC12" s="1" t="s">
        <v>111</v>
      </c>
      <c r="ED12" s="1" t="s">
        <v>112</v>
      </c>
      <c r="EE12" s="1">
        <v>1</v>
      </c>
      <c r="EF12" s="1">
        <v>1</v>
      </c>
      <c r="EG12" s="1" t="s">
        <v>113</v>
      </c>
      <c r="EH12" s="1" t="s">
        <v>114</v>
      </c>
      <c r="EI12" s="1" t="s">
        <v>111</v>
      </c>
      <c r="EJ12" s="1" t="s">
        <v>114</v>
      </c>
      <c r="EK12" s="1">
        <v>6</v>
      </c>
      <c r="EL12" s="1">
        <v>5</v>
      </c>
    </row>
    <row r="13" spans="1:142" x14ac:dyDescent="0.25">
      <c r="A13" s="5">
        <v>9</v>
      </c>
      <c r="B13" s="17" t="s">
        <v>132</v>
      </c>
      <c r="C13" s="1" t="s">
        <v>133</v>
      </c>
      <c r="D13" s="35">
        <v>45370</v>
      </c>
      <c r="E13" s="1">
        <v>5</v>
      </c>
      <c r="F13" s="36">
        <v>2</v>
      </c>
      <c r="G13" s="1">
        <v>1</v>
      </c>
      <c r="H13" s="1">
        <v>34</v>
      </c>
      <c r="I13" s="1">
        <v>4</v>
      </c>
      <c r="J13" s="1">
        <v>6</v>
      </c>
      <c r="K13" s="1">
        <v>0</v>
      </c>
      <c r="L13" s="1">
        <f t="shared" si="0"/>
        <v>0</v>
      </c>
      <c r="M13" s="1" t="s">
        <v>107</v>
      </c>
      <c r="N13" s="1" t="s">
        <v>120</v>
      </c>
      <c r="O13" s="1" t="s">
        <v>109</v>
      </c>
      <c r="P13" s="1" t="s">
        <v>110</v>
      </c>
      <c r="Q13" s="1" t="s">
        <v>110</v>
      </c>
      <c r="R13" s="7">
        <v>2</v>
      </c>
      <c r="S13" s="1">
        <v>2</v>
      </c>
      <c r="T13" s="1">
        <v>0</v>
      </c>
      <c r="U13" s="1"/>
      <c r="V13" s="1"/>
      <c r="W13" s="1"/>
      <c r="X13" s="1"/>
      <c r="Y13" s="1"/>
      <c r="Z13" s="3"/>
      <c r="AA13" s="3"/>
      <c r="AB13" s="3"/>
      <c r="AC13" s="3"/>
      <c r="AD13" s="3"/>
      <c r="AE13" s="3">
        <v>2</v>
      </c>
      <c r="AF13" s="1"/>
      <c r="AG13" s="1"/>
      <c r="AH13" s="1"/>
      <c r="AI13" s="1"/>
      <c r="AJ13" s="1"/>
      <c r="AK13" s="1"/>
      <c r="AL13" s="1"/>
      <c r="AM13" s="1"/>
      <c r="AN13" s="1">
        <v>9</v>
      </c>
      <c r="AO13" s="7">
        <v>2</v>
      </c>
      <c r="AP13" s="7">
        <f t="shared" si="10"/>
        <v>0.2</v>
      </c>
      <c r="AQ13" s="7">
        <f t="shared" si="1"/>
        <v>0</v>
      </c>
      <c r="AR13" s="7">
        <f t="shared" si="2"/>
        <v>0</v>
      </c>
      <c r="AS13" s="7">
        <f t="shared" si="3"/>
        <v>0</v>
      </c>
      <c r="AT13" s="7">
        <f t="shared" si="4"/>
        <v>0</v>
      </c>
      <c r="AU13" s="7">
        <f t="shared" si="5"/>
        <v>0</v>
      </c>
      <c r="AV13" s="7">
        <f t="shared" si="6"/>
        <v>0</v>
      </c>
      <c r="AW13" s="7">
        <f t="shared" si="7"/>
        <v>30</v>
      </c>
      <c r="AX13" s="7">
        <f t="shared" si="8"/>
        <v>30</v>
      </c>
      <c r="AY13" s="7">
        <v>1</v>
      </c>
      <c r="AZ13" s="18">
        <v>14</v>
      </c>
      <c r="BA13" s="18">
        <v>28</v>
      </c>
      <c r="BB13" s="7">
        <v>0</v>
      </c>
      <c r="BC13" s="7">
        <v>40</v>
      </c>
      <c r="BD13" s="7">
        <f t="shared" si="9"/>
        <v>20</v>
      </c>
      <c r="BE13" s="7">
        <v>1</v>
      </c>
      <c r="BF13" s="1">
        <v>200</v>
      </c>
      <c r="BG13" s="7">
        <v>2740</v>
      </c>
      <c r="BH13" s="7">
        <v>30000</v>
      </c>
      <c r="BI13" s="7">
        <v>400</v>
      </c>
      <c r="BJ13" s="7">
        <v>8</v>
      </c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>
        <v>2</v>
      </c>
      <c r="CK13" s="1"/>
      <c r="CL13" s="1"/>
      <c r="CM13" s="1">
        <v>3</v>
      </c>
      <c r="CN13" s="1"/>
      <c r="CO13" s="1"/>
      <c r="CP13" s="1"/>
      <c r="CQ13" s="1"/>
      <c r="CR13" s="1"/>
      <c r="CS13" s="1"/>
      <c r="CT13" s="1"/>
      <c r="CU13" s="7">
        <v>2</v>
      </c>
      <c r="CV13" s="7">
        <v>2</v>
      </c>
      <c r="CW13" s="7">
        <v>0</v>
      </c>
      <c r="CX13" s="7">
        <v>8</v>
      </c>
      <c r="CY13" s="1">
        <v>4</v>
      </c>
      <c r="CZ13" s="1"/>
      <c r="DA13" s="7">
        <v>1</v>
      </c>
      <c r="DB13" s="1"/>
      <c r="DC13" s="1">
        <v>1</v>
      </c>
      <c r="DD13" s="1"/>
      <c r="DE13" s="1"/>
      <c r="DF13" s="1">
        <v>1</v>
      </c>
      <c r="DG13" s="1"/>
      <c r="DH13" s="1"/>
      <c r="DI13" s="1"/>
      <c r="DJ13" s="1">
        <v>1</v>
      </c>
      <c r="DK13" s="1"/>
      <c r="DL13" s="1"/>
      <c r="DM13" s="1">
        <v>1</v>
      </c>
      <c r="DN13" s="1"/>
      <c r="DO13" s="1">
        <v>1</v>
      </c>
      <c r="DP13" s="1"/>
      <c r="DQ13" s="1">
        <v>1</v>
      </c>
      <c r="DR13" s="1"/>
      <c r="DS13" s="1"/>
      <c r="DT13" s="7">
        <v>3</v>
      </c>
      <c r="DU13" s="7">
        <v>3</v>
      </c>
      <c r="DV13" s="1"/>
      <c r="DW13" s="1"/>
      <c r="DX13" s="7">
        <v>500</v>
      </c>
      <c r="DY13" s="7">
        <v>900</v>
      </c>
      <c r="DZ13" s="1"/>
      <c r="EA13" s="1"/>
      <c r="EB13" s="1"/>
      <c r="EC13" s="1" t="s">
        <v>111</v>
      </c>
      <c r="ED13" s="1" t="s">
        <v>112</v>
      </c>
      <c r="EE13" s="1">
        <v>1</v>
      </c>
      <c r="EF13" s="1">
        <v>1</v>
      </c>
      <c r="EG13" s="1" t="s">
        <v>113</v>
      </c>
      <c r="EH13" s="1" t="s">
        <v>114</v>
      </c>
      <c r="EI13" s="1" t="s">
        <v>111</v>
      </c>
      <c r="EJ13" s="1" t="s">
        <v>114</v>
      </c>
      <c r="EK13" s="1">
        <v>6</v>
      </c>
      <c r="EL13" s="1">
        <v>5</v>
      </c>
    </row>
    <row r="14" spans="1:142" x14ac:dyDescent="0.25">
      <c r="A14" s="5">
        <v>10</v>
      </c>
      <c r="B14" s="17" t="s">
        <v>134</v>
      </c>
      <c r="C14" s="1" t="s">
        <v>135</v>
      </c>
      <c r="D14" s="35">
        <v>45370</v>
      </c>
      <c r="E14" s="1">
        <v>5</v>
      </c>
      <c r="F14" s="36">
        <v>2</v>
      </c>
      <c r="G14" s="1">
        <v>1</v>
      </c>
      <c r="H14" s="1">
        <v>41</v>
      </c>
      <c r="I14" s="1">
        <v>7</v>
      </c>
      <c r="J14" s="1">
        <v>5</v>
      </c>
      <c r="K14" s="1">
        <v>0</v>
      </c>
      <c r="L14" s="1">
        <f t="shared" si="0"/>
        <v>0</v>
      </c>
      <c r="M14" s="1" t="s">
        <v>107</v>
      </c>
      <c r="N14" s="1" t="s">
        <v>108</v>
      </c>
      <c r="O14" s="1" t="s">
        <v>109</v>
      </c>
      <c r="P14" s="1" t="s">
        <v>110</v>
      </c>
      <c r="Q14" s="1" t="s">
        <v>110</v>
      </c>
      <c r="R14" s="7">
        <v>1</v>
      </c>
      <c r="S14" s="1">
        <v>3</v>
      </c>
      <c r="T14" s="1">
        <v>0.50575999999999999</v>
      </c>
      <c r="U14" s="1"/>
      <c r="V14" s="1"/>
      <c r="W14" s="1"/>
      <c r="X14" s="1"/>
      <c r="Y14" s="1"/>
      <c r="Z14" s="3">
        <v>2</v>
      </c>
      <c r="AA14" s="3">
        <v>2</v>
      </c>
      <c r="AB14" s="3"/>
      <c r="AC14" s="3"/>
      <c r="AD14" s="3"/>
      <c r="AE14" s="3"/>
      <c r="AF14" s="1">
        <v>1</v>
      </c>
      <c r="AG14" s="1">
        <v>1</v>
      </c>
      <c r="AH14" s="1"/>
      <c r="AI14" s="1"/>
      <c r="AJ14" s="1"/>
      <c r="AK14" s="1"/>
      <c r="AL14" s="1"/>
      <c r="AM14" s="1">
        <v>3</v>
      </c>
      <c r="AN14" s="1">
        <v>8</v>
      </c>
      <c r="AO14" s="7">
        <v>4</v>
      </c>
      <c r="AP14" s="7">
        <f t="shared" si="10"/>
        <v>0.12</v>
      </c>
      <c r="AQ14" s="7">
        <f t="shared" si="1"/>
        <v>100</v>
      </c>
      <c r="AR14" s="7">
        <f t="shared" si="2"/>
        <v>0.5</v>
      </c>
      <c r="AS14" s="7">
        <f t="shared" si="3"/>
        <v>0.5</v>
      </c>
      <c r="AT14" s="7">
        <f t="shared" si="4"/>
        <v>0</v>
      </c>
      <c r="AU14" s="7">
        <f t="shared" si="5"/>
        <v>0</v>
      </c>
      <c r="AV14" s="7">
        <f t="shared" si="6"/>
        <v>0</v>
      </c>
      <c r="AW14" s="7">
        <f t="shared" si="7"/>
        <v>0</v>
      </c>
      <c r="AX14" s="7">
        <f t="shared" si="8"/>
        <v>50</v>
      </c>
      <c r="AY14" s="7">
        <v>0</v>
      </c>
      <c r="AZ14" s="18">
        <v>4.5</v>
      </c>
      <c r="BA14" s="18">
        <v>18</v>
      </c>
      <c r="BB14" s="7">
        <v>0</v>
      </c>
      <c r="BC14" s="7">
        <v>41</v>
      </c>
      <c r="BD14" s="7">
        <f t="shared" si="9"/>
        <v>10.25</v>
      </c>
      <c r="BE14" s="7">
        <v>0</v>
      </c>
      <c r="BF14" s="1">
        <v>0</v>
      </c>
      <c r="BG14" s="7">
        <v>2240</v>
      </c>
      <c r="BH14" s="7">
        <v>30000</v>
      </c>
      <c r="BI14" s="7">
        <v>800</v>
      </c>
      <c r="BJ14" s="7">
        <v>16</v>
      </c>
      <c r="BK14" s="1"/>
      <c r="BL14" s="1"/>
      <c r="BM14" s="1"/>
      <c r="BN14" s="1"/>
      <c r="BO14" s="1"/>
      <c r="BP14" s="1"/>
      <c r="BQ14" s="1">
        <v>2</v>
      </c>
      <c r="BR14" s="1"/>
      <c r="BS14" s="1"/>
      <c r="BT14" s="1">
        <v>2</v>
      </c>
      <c r="BU14" s="1"/>
      <c r="BV14" s="1"/>
      <c r="BW14" s="1"/>
      <c r="BX14" s="1"/>
      <c r="BY14" s="1"/>
      <c r="BZ14" s="1"/>
      <c r="CA14" s="1"/>
      <c r="CB14" s="1"/>
      <c r="CC14" s="1"/>
      <c r="CD14" s="1">
        <v>2</v>
      </c>
      <c r="CE14" s="1"/>
      <c r="CF14" s="1"/>
      <c r="CG14" s="1">
        <v>2</v>
      </c>
      <c r="CH14" s="1"/>
      <c r="CI14" s="1"/>
      <c r="CJ14" s="1"/>
      <c r="CK14" s="1"/>
      <c r="CL14" s="1"/>
      <c r="CM14" s="1">
        <v>3</v>
      </c>
      <c r="CN14" s="1"/>
      <c r="CO14" s="1"/>
      <c r="CP14" s="1"/>
      <c r="CQ14" s="1"/>
      <c r="CR14" s="1"/>
      <c r="CS14" s="1"/>
      <c r="CT14" s="1"/>
      <c r="CU14" s="7">
        <v>6</v>
      </c>
      <c r="CV14" s="7">
        <v>2</v>
      </c>
      <c r="CW14" s="7">
        <v>0</v>
      </c>
      <c r="CX14" s="7">
        <v>8</v>
      </c>
      <c r="CY14" s="1">
        <v>4</v>
      </c>
      <c r="CZ14" s="1"/>
      <c r="DA14" s="7">
        <v>1</v>
      </c>
      <c r="DB14" s="1"/>
      <c r="DC14" s="1">
        <v>1</v>
      </c>
      <c r="DD14" s="1"/>
      <c r="DE14" s="1"/>
      <c r="DF14" s="1">
        <v>1</v>
      </c>
      <c r="DG14" s="1"/>
      <c r="DH14" s="1"/>
      <c r="DI14" s="1"/>
      <c r="DJ14" s="1">
        <v>1</v>
      </c>
      <c r="DK14" s="1"/>
      <c r="DL14" s="1"/>
      <c r="DM14" s="1">
        <v>1</v>
      </c>
      <c r="DN14" s="1"/>
      <c r="DO14" s="1">
        <v>1</v>
      </c>
      <c r="DP14" s="1"/>
      <c r="DQ14" s="1">
        <v>1</v>
      </c>
      <c r="DR14" s="1"/>
      <c r="DS14" s="1"/>
      <c r="DT14" s="7">
        <v>3</v>
      </c>
      <c r="DU14" s="7">
        <v>1</v>
      </c>
      <c r="DV14" s="7">
        <v>110800</v>
      </c>
      <c r="DW14" s="1"/>
      <c r="DX14" s="7">
        <v>800</v>
      </c>
      <c r="DY14" s="7">
        <v>1200</v>
      </c>
      <c r="DZ14" s="1"/>
      <c r="EA14" s="1"/>
      <c r="EB14" s="1"/>
      <c r="EC14" s="1" t="s">
        <v>111</v>
      </c>
      <c r="ED14" s="1" t="s">
        <v>112</v>
      </c>
      <c r="EE14" s="1">
        <v>1</v>
      </c>
      <c r="EF14" s="1">
        <v>1</v>
      </c>
      <c r="EG14" s="1" t="s">
        <v>113</v>
      </c>
      <c r="EH14" s="1" t="s">
        <v>114</v>
      </c>
      <c r="EI14" s="1" t="s">
        <v>111</v>
      </c>
      <c r="EJ14" s="1" t="s">
        <v>114</v>
      </c>
      <c r="EK14" s="1">
        <v>5</v>
      </c>
      <c r="EL14" s="1">
        <v>4</v>
      </c>
    </row>
    <row r="15" spans="1:142" x14ac:dyDescent="0.25">
      <c r="A15" s="5">
        <v>11</v>
      </c>
      <c r="B15" s="17" t="s">
        <v>136</v>
      </c>
      <c r="C15" s="1" t="s">
        <v>137</v>
      </c>
      <c r="D15" s="35">
        <v>45470</v>
      </c>
      <c r="E15" s="1">
        <v>2</v>
      </c>
      <c r="F15" s="36"/>
      <c r="G15" s="1">
        <v>1</v>
      </c>
      <c r="H15" s="1">
        <v>60</v>
      </c>
      <c r="I15" s="1">
        <v>5</v>
      </c>
      <c r="J15" s="1">
        <v>5</v>
      </c>
      <c r="K15" s="1">
        <v>0</v>
      </c>
      <c r="L15" s="1">
        <f t="shared" si="0"/>
        <v>0</v>
      </c>
      <c r="M15" s="1" t="s">
        <v>107</v>
      </c>
      <c r="N15" s="1" t="s">
        <v>120</v>
      </c>
      <c r="O15" s="1" t="s">
        <v>109</v>
      </c>
      <c r="P15" s="1" t="s">
        <v>110</v>
      </c>
      <c r="Q15" s="1" t="s">
        <v>110</v>
      </c>
      <c r="R15" s="7">
        <v>1</v>
      </c>
      <c r="S15" s="1">
        <v>3</v>
      </c>
      <c r="T15" s="1">
        <v>0</v>
      </c>
      <c r="U15" s="1"/>
      <c r="V15" s="1"/>
      <c r="W15" s="1"/>
      <c r="X15" s="1"/>
      <c r="Y15" s="1"/>
      <c r="Z15" s="3">
        <v>1</v>
      </c>
      <c r="AA15" s="3">
        <v>1</v>
      </c>
      <c r="AB15" s="3"/>
      <c r="AC15" s="3">
        <v>2</v>
      </c>
      <c r="AD15" s="3">
        <v>3</v>
      </c>
      <c r="AE15" s="3">
        <v>1</v>
      </c>
      <c r="AF15" s="1"/>
      <c r="AG15" s="1">
        <v>1</v>
      </c>
      <c r="AH15" s="1"/>
      <c r="AI15" s="1"/>
      <c r="AJ15" s="1"/>
      <c r="AK15" s="1"/>
      <c r="AL15" s="1"/>
      <c r="AM15" s="1"/>
      <c r="AN15" s="1">
        <v>8</v>
      </c>
      <c r="AO15" s="7">
        <v>8</v>
      </c>
      <c r="AP15" s="7">
        <f t="shared" si="10"/>
        <v>0.52</v>
      </c>
      <c r="AQ15" s="7">
        <f t="shared" si="1"/>
        <v>11.538461538461538</v>
      </c>
      <c r="AR15" s="7">
        <f t="shared" si="2"/>
        <v>0.125</v>
      </c>
      <c r="AS15" s="7">
        <f t="shared" si="3"/>
        <v>0.125</v>
      </c>
      <c r="AT15" s="7">
        <f t="shared" si="4"/>
        <v>0</v>
      </c>
      <c r="AU15" s="7">
        <f t="shared" si="5"/>
        <v>11.538461538461538</v>
      </c>
      <c r="AV15" s="7">
        <f t="shared" si="6"/>
        <v>17.307692307692307</v>
      </c>
      <c r="AW15" s="7">
        <f t="shared" si="7"/>
        <v>5.7692307692307692</v>
      </c>
      <c r="AX15" s="7">
        <f t="shared" si="8"/>
        <v>23.076923076923077</v>
      </c>
      <c r="AY15" s="7">
        <v>0.25</v>
      </c>
      <c r="AZ15" s="18">
        <v>20.5</v>
      </c>
      <c r="BA15" s="18">
        <v>164</v>
      </c>
      <c r="BB15" s="7">
        <v>1</v>
      </c>
      <c r="BC15" s="7">
        <v>208</v>
      </c>
      <c r="BD15" s="7">
        <f t="shared" si="9"/>
        <v>26</v>
      </c>
      <c r="BE15" s="7">
        <v>1</v>
      </c>
      <c r="BF15" s="1">
        <v>700</v>
      </c>
      <c r="BG15" s="7">
        <v>13710</v>
      </c>
      <c r="BH15" s="7">
        <v>15000</v>
      </c>
      <c r="BI15" s="7">
        <v>1700</v>
      </c>
      <c r="BJ15" s="7">
        <v>34</v>
      </c>
      <c r="BK15" s="1"/>
      <c r="BL15" s="1"/>
      <c r="BM15" s="1"/>
      <c r="BN15" s="1"/>
      <c r="BO15" s="1"/>
      <c r="BP15" s="1"/>
      <c r="BQ15" s="1"/>
      <c r="BR15" s="1"/>
      <c r="BS15" s="1"/>
      <c r="BT15" s="1">
        <v>1</v>
      </c>
      <c r="BU15" s="1"/>
      <c r="BV15" s="1"/>
      <c r="BW15" s="1"/>
      <c r="BX15" s="1"/>
      <c r="BY15" s="1">
        <v>3</v>
      </c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>
        <v>1</v>
      </c>
      <c r="CN15" s="1"/>
      <c r="CO15" s="1"/>
      <c r="CP15" s="1"/>
      <c r="CQ15" s="1"/>
      <c r="CR15" s="1"/>
      <c r="CS15" s="1"/>
      <c r="CT15" s="1"/>
      <c r="CU15" s="7">
        <v>2</v>
      </c>
      <c r="CV15" s="7">
        <v>2</v>
      </c>
      <c r="CW15" s="7">
        <v>0</v>
      </c>
      <c r="CX15" s="7">
        <v>8</v>
      </c>
      <c r="CY15" s="1">
        <v>2</v>
      </c>
      <c r="CZ15" s="1"/>
      <c r="DA15" s="7">
        <v>1</v>
      </c>
      <c r="DB15" s="1"/>
      <c r="DC15" s="1"/>
      <c r="DD15" s="1"/>
      <c r="DE15" s="1"/>
      <c r="DF15" s="1">
        <v>1</v>
      </c>
      <c r="DG15" s="1"/>
      <c r="DH15" s="1"/>
      <c r="DI15" s="1"/>
      <c r="DJ15" s="1">
        <v>1</v>
      </c>
      <c r="DK15" s="1"/>
      <c r="DL15" s="1"/>
      <c r="DM15" s="1">
        <v>1</v>
      </c>
      <c r="DN15" s="1"/>
      <c r="DO15" s="1"/>
      <c r="DP15" s="1"/>
      <c r="DQ15" s="1">
        <v>1</v>
      </c>
      <c r="DR15" s="1"/>
      <c r="DS15" s="1"/>
      <c r="DT15" s="7">
        <v>3</v>
      </c>
      <c r="DU15" s="7">
        <v>1</v>
      </c>
      <c r="DV15" s="7">
        <v>104900</v>
      </c>
      <c r="DW15" s="1"/>
      <c r="DX15" s="7">
        <v>1300</v>
      </c>
      <c r="DY15" s="7">
        <v>1700</v>
      </c>
      <c r="DZ15" s="1"/>
      <c r="EA15" s="1"/>
      <c r="EB15" s="1"/>
      <c r="EC15" s="1" t="s">
        <v>111</v>
      </c>
      <c r="ED15" s="1" t="s">
        <v>112</v>
      </c>
      <c r="EE15" s="1">
        <v>1</v>
      </c>
      <c r="EF15" s="1">
        <v>1</v>
      </c>
      <c r="EG15" s="1" t="s">
        <v>113</v>
      </c>
      <c r="EH15" s="1" t="s">
        <v>114</v>
      </c>
      <c r="EI15" s="1" t="s">
        <v>111</v>
      </c>
      <c r="EJ15" s="1" t="s">
        <v>114</v>
      </c>
      <c r="EK15" s="1">
        <v>5</v>
      </c>
      <c r="EL15" s="1">
        <v>4</v>
      </c>
    </row>
    <row r="16" spans="1:142" x14ac:dyDescent="0.25">
      <c r="A16" s="5">
        <v>12</v>
      </c>
      <c r="B16" s="17" t="s">
        <v>138</v>
      </c>
      <c r="C16" s="1" t="s">
        <v>139</v>
      </c>
      <c r="D16" s="35">
        <v>45470</v>
      </c>
      <c r="E16" s="1">
        <v>2</v>
      </c>
      <c r="F16" s="36"/>
      <c r="G16" s="1">
        <v>1</v>
      </c>
      <c r="H16" s="1">
        <v>38</v>
      </c>
      <c r="I16" s="1">
        <v>20</v>
      </c>
      <c r="J16" s="1">
        <v>8</v>
      </c>
      <c r="K16" s="1">
        <v>5</v>
      </c>
      <c r="L16" s="1">
        <f t="shared" si="0"/>
        <v>1</v>
      </c>
      <c r="M16" s="1" t="s">
        <v>140</v>
      </c>
      <c r="N16" s="1" t="s">
        <v>120</v>
      </c>
      <c r="O16" s="1" t="s">
        <v>141</v>
      </c>
      <c r="P16" s="1" t="s">
        <v>110</v>
      </c>
      <c r="Q16" s="1" t="s">
        <v>110</v>
      </c>
      <c r="R16" s="7">
        <v>2</v>
      </c>
      <c r="S16" s="1">
        <v>5</v>
      </c>
      <c r="T16" s="1">
        <v>0</v>
      </c>
      <c r="U16" s="1"/>
      <c r="V16" s="1"/>
      <c r="W16" s="1"/>
      <c r="X16" s="1"/>
      <c r="Y16" s="1"/>
      <c r="Z16" s="3"/>
      <c r="AA16" s="3"/>
      <c r="AB16" s="3"/>
      <c r="AC16" s="3">
        <v>2</v>
      </c>
      <c r="AD16" s="3"/>
      <c r="AE16" s="3">
        <v>1</v>
      </c>
      <c r="AF16" s="1"/>
      <c r="AG16" s="1"/>
      <c r="AH16" s="1"/>
      <c r="AI16" s="1"/>
      <c r="AJ16" s="1"/>
      <c r="AK16" s="1"/>
      <c r="AL16" s="1"/>
      <c r="AM16" s="1"/>
      <c r="AN16" s="1">
        <v>8</v>
      </c>
      <c r="AO16" s="7">
        <v>3</v>
      </c>
      <c r="AP16" s="7">
        <f t="shared" si="10"/>
        <v>0.16</v>
      </c>
      <c r="AQ16" s="7">
        <f t="shared" si="1"/>
        <v>0</v>
      </c>
      <c r="AR16" s="7">
        <f t="shared" si="2"/>
        <v>0</v>
      </c>
      <c r="AS16" s="7">
        <f t="shared" si="3"/>
        <v>0</v>
      </c>
      <c r="AT16" s="7">
        <f t="shared" si="4"/>
        <v>0</v>
      </c>
      <c r="AU16" s="7">
        <f t="shared" si="5"/>
        <v>37.5</v>
      </c>
      <c r="AV16" s="7">
        <f t="shared" si="6"/>
        <v>0</v>
      </c>
      <c r="AW16" s="7">
        <f t="shared" si="7"/>
        <v>18.75</v>
      </c>
      <c r="AX16" s="7">
        <f t="shared" si="8"/>
        <v>56.25</v>
      </c>
      <c r="AY16" s="7">
        <v>0.66666666669999997</v>
      </c>
      <c r="AZ16" s="18">
        <v>14.333333333333334</v>
      </c>
      <c r="BA16" s="18">
        <v>43</v>
      </c>
      <c r="BB16" s="7">
        <v>0</v>
      </c>
      <c r="BC16" s="7">
        <v>66</v>
      </c>
      <c r="BD16" s="7">
        <f t="shared" si="9"/>
        <v>22</v>
      </c>
      <c r="BE16" s="7">
        <v>1</v>
      </c>
      <c r="BF16" s="1">
        <v>550</v>
      </c>
      <c r="BG16" s="7">
        <v>4850</v>
      </c>
      <c r="BH16" s="7">
        <v>15000</v>
      </c>
      <c r="BI16" s="7">
        <v>600</v>
      </c>
      <c r="BJ16" s="7">
        <v>12</v>
      </c>
      <c r="BK16" s="1"/>
      <c r="BL16" s="1"/>
      <c r="BM16" s="1"/>
      <c r="BN16" s="1"/>
      <c r="BO16" s="1">
        <v>1</v>
      </c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7">
        <v>6</v>
      </c>
      <c r="CV16" s="7">
        <v>2</v>
      </c>
      <c r="CW16" s="7">
        <v>0</v>
      </c>
      <c r="CX16" s="7">
        <v>8</v>
      </c>
      <c r="CY16" s="1">
        <v>2</v>
      </c>
      <c r="CZ16" s="1"/>
      <c r="DA16" s="7">
        <v>1</v>
      </c>
      <c r="DB16" s="1"/>
      <c r="DC16" s="1"/>
      <c r="DD16" s="1"/>
      <c r="DE16" s="1"/>
      <c r="DF16" s="1">
        <v>1</v>
      </c>
      <c r="DG16" s="1"/>
      <c r="DH16" s="1"/>
      <c r="DI16" s="1"/>
      <c r="DJ16" s="1">
        <v>1</v>
      </c>
      <c r="DK16" s="1"/>
      <c r="DL16" s="1"/>
      <c r="DM16" s="1">
        <v>1</v>
      </c>
      <c r="DN16" s="1"/>
      <c r="DO16" s="1"/>
      <c r="DP16" s="1"/>
      <c r="DQ16" s="1">
        <v>1</v>
      </c>
      <c r="DR16" s="1"/>
      <c r="DS16" s="1"/>
      <c r="DT16" s="7">
        <v>3</v>
      </c>
      <c r="DU16" s="7">
        <v>2</v>
      </c>
      <c r="DV16" s="1"/>
      <c r="DW16" s="1"/>
      <c r="DX16" s="7">
        <v>500</v>
      </c>
      <c r="DY16" s="7">
        <v>500</v>
      </c>
      <c r="DZ16" s="1"/>
      <c r="EA16" s="1"/>
      <c r="EB16" s="1"/>
      <c r="EC16" s="1" t="s">
        <v>111</v>
      </c>
      <c r="ED16" s="1" t="s">
        <v>112</v>
      </c>
      <c r="EE16" s="1">
        <v>1</v>
      </c>
      <c r="EF16" s="1">
        <v>1</v>
      </c>
      <c r="EG16" s="1" t="s">
        <v>113</v>
      </c>
      <c r="EH16" s="1" t="s">
        <v>114</v>
      </c>
      <c r="EI16" s="1" t="s">
        <v>111</v>
      </c>
      <c r="EJ16" s="1" t="s">
        <v>114</v>
      </c>
      <c r="EK16" s="1">
        <v>6</v>
      </c>
      <c r="EL16" s="1">
        <v>5</v>
      </c>
    </row>
    <row r="17" spans="1:142" x14ac:dyDescent="0.25">
      <c r="A17" s="5">
        <v>13</v>
      </c>
      <c r="B17" s="17" t="s">
        <v>142</v>
      </c>
      <c r="C17" s="1" t="s">
        <v>143</v>
      </c>
      <c r="D17" s="35">
        <v>45470</v>
      </c>
      <c r="E17" s="1">
        <v>2</v>
      </c>
      <c r="F17" s="36"/>
      <c r="G17" s="1">
        <v>1</v>
      </c>
      <c r="H17" s="1">
        <v>35</v>
      </c>
      <c r="I17" s="1">
        <v>2</v>
      </c>
      <c r="J17" s="1">
        <v>1</v>
      </c>
      <c r="K17" s="1">
        <v>8</v>
      </c>
      <c r="L17" s="1">
        <f t="shared" si="0"/>
        <v>2</v>
      </c>
      <c r="M17" s="1" t="s">
        <v>107</v>
      </c>
      <c r="N17" s="1" t="s">
        <v>108</v>
      </c>
      <c r="O17" s="1" t="s">
        <v>144</v>
      </c>
      <c r="P17" s="1" t="s">
        <v>110</v>
      </c>
      <c r="Q17" s="1" t="s">
        <v>110</v>
      </c>
      <c r="R17" s="7">
        <v>1</v>
      </c>
      <c r="S17" s="1">
        <v>3</v>
      </c>
      <c r="T17" s="1">
        <v>0</v>
      </c>
      <c r="U17" s="1"/>
      <c r="V17" s="1"/>
      <c r="W17" s="1"/>
      <c r="X17" s="1"/>
      <c r="Y17" s="1"/>
      <c r="Z17" s="3">
        <v>1</v>
      </c>
      <c r="AA17" s="3"/>
      <c r="AB17" s="3"/>
      <c r="AC17" s="3">
        <v>1</v>
      </c>
      <c r="AD17" s="3">
        <v>2</v>
      </c>
      <c r="AE17" s="3">
        <v>1</v>
      </c>
      <c r="AF17" s="1"/>
      <c r="AG17" s="1"/>
      <c r="AH17" s="1"/>
      <c r="AI17" s="1"/>
      <c r="AJ17" s="1"/>
      <c r="AK17" s="1"/>
      <c r="AL17" s="1"/>
      <c r="AM17" s="1"/>
      <c r="AN17" s="1">
        <v>9</v>
      </c>
      <c r="AO17" s="7">
        <v>5</v>
      </c>
      <c r="AP17" s="7">
        <f t="shared" si="10"/>
        <v>0.36000000000000004</v>
      </c>
      <c r="AQ17" s="7">
        <f t="shared" si="1"/>
        <v>8.3333333333333321</v>
      </c>
      <c r="AR17" s="7">
        <f t="shared" si="2"/>
        <v>0.2</v>
      </c>
      <c r="AS17" s="7">
        <f t="shared" si="3"/>
        <v>0</v>
      </c>
      <c r="AT17" s="7">
        <f t="shared" si="4"/>
        <v>0</v>
      </c>
      <c r="AU17" s="7">
        <f t="shared" si="5"/>
        <v>8.3333333333333321</v>
      </c>
      <c r="AV17" s="7">
        <f t="shared" si="6"/>
        <v>16.666666666666664</v>
      </c>
      <c r="AW17" s="7">
        <f t="shared" si="7"/>
        <v>8.3333333333333321</v>
      </c>
      <c r="AX17" s="7">
        <f t="shared" si="8"/>
        <v>16.666666666666664</v>
      </c>
      <c r="AY17" s="7">
        <v>0.2</v>
      </c>
      <c r="AZ17" s="18">
        <v>23.4</v>
      </c>
      <c r="BA17" s="18">
        <v>117</v>
      </c>
      <c r="BB17" s="7">
        <v>1</v>
      </c>
      <c r="BC17" s="7">
        <v>151</v>
      </c>
      <c r="BD17" s="7">
        <f t="shared" si="9"/>
        <v>30.2</v>
      </c>
      <c r="BE17" s="7">
        <v>1</v>
      </c>
      <c r="BF17" s="1">
        <v>800</v>
      </c>
      <c r="BG17" s="7">
        <v>10320</v>
      </c>
      <c r="BH17" s="7">
        <v>30000</v>
      </c>
      <c r="BI17" s="7">
        <v>1000</v>
      </c>
      <c r="BJ17" s="7">
        <v>20</v>
      </c>
      <c r="BK17" s="1"/>
      <c r="BL17" s="1"/>
      <c r="BM17" s="1">
        <v>2</v>
      </c>
      <c r="BN17" s="1">
        <v>1</v>
      </c>
      <c r="BO17" s="1"/>
      <c r="BP17" s="1"/>
      <c r="BQ17" s="1">
        <v>1</v>
      </c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7">
        <v>6</v>
      </c>
      <c r="CV17" s="7">
        <v>2</v>
      </c>
      <c r="CW17" s="7">
        <v>0</v>
      </c>
      <c r="CX17" s="7">
        <v>8</v>
      </c>
      <c r="CY17" s="1">
        <v>4</v>
      </c>
      <c r="CZ17" s="1"/>
      <c r="DA17" s="7">
        <v>1</v>
      </c>
      <c r="DB17" s="1"/>
      <c r="DC17" s="1"/>
      <c r="DD17" s="1"/>
      <c r="DE17" s="1"/>
      <c r="DF17" s="1">
        <v>1</v>
      </c>
      <c r="DG17" s="1"/>
      <c r="DH17" s="1"/>
      <c r="DI17" s="1"/>
      <c r="DJ17" s="1">
        <v>1</v>
      </c>
      <c r="DK17" s="1"/>
      <c r="DL17" s="1"/>
      <c r="DM17" s="1">
        <v>1</v>
      </c>
      <c r="DN17" s="1"/>
      <c r="DO17" s="1"/>
      <c r="DP17" s="1"/>
      <c r="DQ17" s="1">
        <v>1</v>
      </c>
      <c r="DR17" s="1"/>
      <c r="DS17" s="1"/>
      <c r="DT17" s="7">
        <v>3</v>
      </c>
      <c r="DU17" s="7">
        <v>3</v>
      </c>
      <c r="DV17" s="1"/>
      <c r="DW17" s="1"/>
      <c r="DX17" s="7">
        <v>900</v>
      </c>
      <c r="DY17" s="7">
        <v>1300</v>
      </c>
      <c r="DZ17" s="1"/>
      <c r="EA17" s="1"/>
      <c r="EB17" s="1"/>
      <c r="EC17" s="1" t="s">
        <v>111</v>
      </c>
      <c r="ED17" s="1" t="s">
        <v>112</v>
      </c>
      <c r="EE17" s="1">
        <v>1</v>
      </c>
      <c r="EF17" s="1">
        <v>1</v>
      </c>
      <c r="EG17" s="1" t="s">
        <v>113</v>
      </c>
      <c r="EH17" s="1" t="s">
        <v>114</v>
      </c>
      <c r="EI17" s="1" t="s">
        <v>111</v>
      </c>
      <c r="EJ17" s="1" t="s">
        <v>114</v>
      </c>
      <c r="EK17" s="1">
        <v>6</v>
      </c>
      <c r="EL17" s="1">
        <v>5</v>
      </c>
    </row>
    <row r="18" spans="1:142" x14ac:dyDescent="0.25">
      <c r="A18" s="5">
        <v>14</v>
      </c>
      <c r="B18" s="17" t="s">
        <v>145</v>
      </c>
      <c r="C18" s="1" t="s">
        <v>146</v>
      </c>
      <c r="D18" s="35">
        <v>45470</v>
      </c>
      <c r="E18" s="1">
        <v>2</v>
      </c>
      <c r="F18" s="36"/>
      <c r="G18" s="1">
        <v>1</v>
      </c>
      <c r="H18" s="1">
        <v>54</v>
      </c>
      <c r="I18" s="1">
        <v>1</v>
      </c>
      <c r="J18" s="1">
        <v>1</v>
      </c>
      <c r="K18" s="1">
        <v>12</v>
      </c>
      <c r="L18" s="1">
        <f t="shared" si="0"/>
        <v>4</v>
      </c>
      <c r="M18" s="1" t="s">
        <v>107</v>
      </c>
      <c r="N18" s="1" t="s">
        <v>108</v>
      </c>
      <c r="O18" s="1" t="s">
        <v>144</v>
      </c>
      <c r="P18" s="1" t="s">
        <v>110</v>
      </c>
      <c r="Q18" s="1" t="s">
        <v>110</v>
      </c>
      <c r="R18" s="7">
        <v>3</v>
      </c>
      <c r="S18" s="1">
        <v>5</v>
      </c>
      <c r="T18" s="1">
        <v>0</v>
      </c>
      <c r="U18" s="1"/>
      <c r="V18" s="1"/>
      <c r="W18" s="1"/>
      <c r="X18" s="1"/>
      <c r="Y18" s="1"/>
      <c r="Z18" s="3"/>
      <c r="AA18" s="3"/>
      <c r="AB18" s="3"/>
      <c r="AC18" s="3">
        <v>2</v>
      </c>
      <c r="AD18" s="3">
        <v>1</v>
      </c>
      <c r="AE18" s="3"/>
      <c r="AF18" s="1"/>
      <c r="AG18" s="1">
        <v>1</v>
      </c>
      <c r="AH18" s="1"/>
      <c r="AI18" s="1"/>
      <c r="AJ18" s="1"/>
      <c r="AK18" s="1"/>
      <c r="AL18" s="1"/>
      <c r="AM18" s="1"/>
      <c r="AN18" s="1">
        <v>10</v>
      </c>
      <c r="AO18" s="7">
        <v>3</v>
      </c>
      <c r="AP18" s="7">
        <f t="shared" si="10"/>
        <v>0.16</v>
      </c>
      <c r="AQ18" s="7">
        <f t="shared" si="1"/>
        <v>0</v>
      </c>
      <c r="AR18" s="7">
        <f t="shared" si="2"/>
        <v>0</v>
      </c>
      <c r="AS18" s="7">
        <f t="shared" si="3"/>
        <v>0</v>
      </c>
      <c r="AT18" s="7">
        <f t="shared" si="4"/>
        <v>0</v>
      </c>
      <c r="AU18" s="7">
        <f t="shared" si="5"/>
        <v>37.5</v>
      </c>
      <c r="AV18" s="7">
        <f t="shared" si="6"/>
        <v>18.75</v>
      </c>
      <c r="AW18" s="7">
        <f t="shared" si="7"/>
        <v>0</v>
      </c>
      <c r="AX18" s="7">
        <f t="shared" si="8"/>
        <v>37.5</v>
      </c>
      <c r="AY18" s="7">
        <v>0.66666666669999997</v>
      </c>
      <c r="AZ18" s="18">
        <v>16.333333333333332</v>
      </c>
      <c r="BA18" s="18">
        <v>49</v>
      </c>
      <c r="BB18" s="7">
        <v>0</v>
      </c>
      <c r="BC18" s="7">
        <v>69</v>
      </c>
      <c r="BD18" s="7">
        <f t="shared" si="9"/>
        <v>23</v>
      </c>
      <c r="BE18" s="7">
        <v>0</v>
      </c>
      <c r="BF18" s="1">
        <v>0</v>
      </c>
      <c r="BG18" s="7">
        <v>4480</v>
      </c>
      <c r="BH18" s="7">
        <v>30000</v>
      </c>
      <c r="BI18" s="7">
        <v>600</v>
      </c>
      <c r="BJ18" s="7">
        <v>12</v>
      </c>
      <c r="BK18" s="1"/>
      <c r="BL18" s="1"/>
      <c r="BM18" s="1">
        <v>1</v>
      </c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7">
        <v>6</v>
      </c>
      <c r="CV18" s="7">
        <v>2</v>
      </c>
      <c r="CW18" s="7">
        <v>0</v>
      </c>
      <c r="CX18" s="7">
        <v>8</v>
      </c>
      <c r="CY18" s="1">
        <v>4</v>
      </c>
      <c r="CZ18" s="1"/>
      <c r="DA18" s="7">
        <v>1</v>
      </c>
      <c r="DB18" s="1"/>
      <c r="DC18" s="1">
        <v>1</v>
      </c>
      <c r="DD18" s="1"/>
      <c r="DE18" s="1"/>
      <c r="DF18" s="1">
        <v>1</v>
      </c>
      <c r="DG18" s="1"/>
      <c r="DH18" s="1"/>
      <c r="DI18" s="1"/>
      <c r="DJ18" s="1">
        <v>1</v>
      </c>
      <c r="DK18" s="1"/>
      <c r="DL18" s="1"/>
      <c r="DM18" s="1">
        <v>1</v>
      </c>
      <c r="DN18" s="1"/>
      <c r="DO18" s="1">
        <v>1</v>
      </c>
      <c r="DP18" s="1"/>
      <c r="DQ18" s="1">
        <v>1</v>
      </c>
      <c r="DR18" s="1"/>
      <c r="DS18" s="1"/>
      <c r="DT18" s="7">
        <v>3</v>
      </c>
      <c r="DU18" s="7">
        <v>1</v>
      </c>
      <c r="DV18" s="7">
        <v>106300</v>
      </c>
      <c r="DW18" s="1"/>
      <c r="DX18" s="7">
        <v>600</v>
      </c>
      <c r="DY18" s="7">
        <v>1100</v>
      </c>
      <c r="DZ18" s="1"/>
      <c r="EA18" s="1"/>
      <c r="EB18" s="1"/>
      <c r="EC18" s="1" t="s">
        <v>111</v>
      </c>
      <c r="ED18" s="1" t="s">
        <v>112</v>
      </c>
      <c r="EE18" s="1">
        <v>1</v>
      </c>
      <c r="EF18" s="1">
        <v>1</v>
      </c>
      <c r="EG18" s="1" t="s">
        <v>113</v>
      </c>
      <c r="EH18" s="1" t="s">
        <v>114</v>
      </c>
      <c r="EI18" s="1" t="s">
        <v>111</v>
      </c>
      <c r="EJ18" s="1" t="s">
        <v>114</v>
      </c>
      <c r="EK18" s="1">
        <v>5</v>
      </c>
      <c r="EL18" s="1">
        <v>5</v>
      </c>
    </row>
    <row r="19" spans="1:142" x14ac:dyDescent="0.25">
      <c r="A19" s="5">
        <v>15</v>
      </c>
      <c r="B19" s="17" t="s">
        <v>147</v>
      </c>
      <c r="C19" s="1" t="s">
        <v>148</v>
      </c>
      <c r="D19" s="35">
        <v>45470</v>
      </c>
      <c r="E19" s="1">
        <v>2</v>
      </c>
      <c r="F19" s="36"/>
      <c r="G19" s="1">
        <v>1</v>
      </c>
      <c r="H19" s="1">
        <v>30</v>
      </c>
      <c r="I19" s="1">
        <v>13</v>
      </c>
      <c r="J19" s="1">
        <v>3</v>
      </c>
      <c r="K19" s="1">
        <v>7</v>
      </c>
      <c r="L19" s="1">
        <f t="shared" si="0"/>
        <v>2</v>
      </c>
      <c r="M19" s="1" t="s">
        <v>107</v>
      </c>
      <c r="N19" s="1" t="s">
        <v>120</v>
      </c>
      <c r="O19" s="1" t="s">
        <v>109</v>
      </c>
      <c r="P19" s="1" t="s">
        <v>110</v>
      </c>
      <c r="Q19" s="1" t="s">
        <v>110</v>
      </c>
      <c r="R19" s="7">
        <v>1</v>
      </c>
      <c r="S19" s="1">
        <v>2</v>
      </c>
      <c r="T19" s="1">
        <v>0.50575999999999999</v>
      </c>
      <c r="U19" s="1"/>
      <c r="V19" s="1"/>
      <c r="W19" s="1"/>
      <c r="X19" s="1"/>
      <c r="Y19" s="1"/>
      <c r="Z19" s="3"/>
      <c r="AA19" s="3"/>
      <c r="AB19" s="3"/>
      <c r="AC19" s="3">
        <v>2</v>
      </c>
      <c r="AD19" s="3"/>
      <c r="AE19" s="3">
        <v>1</v>
      </c>
      <c r="AF19" s="1"/>
      <c r="AG19" s="1"/>
      <c r="AH19" s="1"/>
      <c r="AI19" s="1"/>
      <c r="AJ19" s="1"/>
      <c r="AK19" s="1"/>
      <c r="AL19" s="1"/>
      <c r="AM19" s="1"/>
      <c r="AN19" s="1">
        <v>10</v>
      </c>
      <c r="AO19" s="7">
        <v>3</v>
      </c>
      <c r="AP19" s="7">
        <f t="shared" si="10"/>
        <v>0.16</v>
      </c>
      <c r="AQ19" s="7">
        <f t="shared" si="1"/>
        <v>0</v>
      </c>
      <c r="AR19" s="7">
        <f t="shared" si="2"/>
        <v>0</v>
      </c>
      <c r="AS19" s="7">
        <f t="shared" si="3"/>
        <v>0</v>
      </c>
      <c r="AT19" s="7">
        <f t="shared" si="4"/>
        <v>0</v>
      </c>
      <c r="AU19" s="7">
        <f t="shared" si="5"/>
        <v>37.5</v>
      </c>
      <c r="AV19" s="7">
        <f t="shared" si="6"/>
        <v>0</v>
      </c>
      <c r="AW19" s="7">
        <f t="shared" si="7"/>
        <v>18.75</v>
      </c>
      <c r="AX19" s="7">
        <f t="shared" si="8"/>
        <v>56.25</v>
      </c>
      <c r="AY19" s="7">
        <v>0.66666666669999997</v>
      </c>
      <c r="AZ19" s="18">
        <v>18.333333333333332</v>
      </c>
      <c r="BA19" s="18">
        <v>55</v>
      </c>
      <c r="BB19" s="7">
        <v>0</v>
      </c>
      <c r="BC19" s="7">
        <v>72</v>
      </c>
      <c r="BD19" s="7">
        <f t="shared" si="9"/>
        <v>24</v>
      </c>
      <c r="BE19" s="7">
        <v>1</v>
      </c>
      <c r="BF19" s="1">
        <v>700</v>
      </c>
      <c r="BG19" s="7">
        <v>5070</v>
      </c>
      <c r="BH19" s="7">
        <v>15000</v>
      </c>
      <c r="BI19" s="7">
        <v>700</v>
      </c>
      <c r="BJ19" s="7">
        <v>14</v>
      </c>
      <c r="BK19" s="1"/>
      <c r="BL19" s="1"/>
      <c r="BM19" s="1"/>
      <c r="BN19" s="1"/>
      <c r="BO19" s="1"/>
      <c r="BP19" s="1">
        <v>1</v>
      </c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7">
        <v>6</v>
      </c>
      <c r="CV19" s="7">
        <v>2</v>
      </c>
      <c r="CW19" s="7">
        <v>0</v>
      </c>
      <c r="CX19" s="7">
        <v>8</v>
      </c>
      <c r="CY19" s="1">
        <v>2</v>
      </c>
      <c r="CZ19" s="1"/>
      <c r="DA19" s="7">
        <v>1</v>
      </c>
      <c r="DB19" s="1"/>
      <c r="DC19" s="1">
        <v>1</v>
      </c>
      <c r="DD19" s="1"/>
      <c r="DE19" s="1"/>
      <c r="DF19" s="1">
        <v>1</v>
      </c>
      <c r="DG19" s="1"/>
      <c r="DH19" s="1"/>
      <c r="DI19" s="1"/>
      <c r="DJ19" s="1">
        <v>1</v>
      </c>
      <c r="DK19" s="1"/>
      <c r="DL19" s="1"/>
      <c r="DM19" s="1">
        <v>1</v>
      </c>
      <c r="DN19" s="1"/>
      <c r="DO19" s="1">
        <v>1</v>
      </c>
      <c r="DP19" s="1"/>
      <c r="DQ19" s="1">
        <v>1</v>
      </c>
      <c r="DR19" s="1"/>
      <c r="DS19" s="1"/>
      <c r="DT19" s="7">
        <v>3</v>
      </c>
      <c r="DU19" s="7">
        <v>2</v>
      </c>
      <c r="DV19" s="1"/>
      <c r="DW19" s="1"/>
      <c r="DX19" s="7">
        <v>500</v>
      </c>
      <c r="DY19" s="7">
        <v>500</v>
      </c>
      <c r="DZ19" s="1"/>
      <c r="EA19" s="1"/>
      <c r="EB19" s="1"/>
      <c r="EC19" s="1" t="s">
        <v>111</v>
      </c>
      <c r="ED19" s="1" t="s">
        <v>112</v>
      </c>
      <c r="EE19" s="1">
        <v>1</v>
      </c>
      <c r="EF19" s="1">
        <v>1</v>
      </c>
      <c r="EG19" s="1" t="s">
        <v>113</v>
      </c>
      <c r="EH19" s="1" t="s">
        <v>114</v>
      </c>
      <c r="EI19" s="1" t="s">
        <v>111</v>
      </c>
      <c r="EJ19" s="1" t="s">
        <v>114</v>
      </c>
      <c r="EK19" s="1">
        <v>6</v>
      </c>
      <c r="EL19" s="1">
        <v>5</v>
      </c>
    </row>
    <row r="20" spans="1:142" x14ac:dyDescent="0.25">
      <c r="A20" s="5">
        <v>16</v>
      </c>
      <c r="B20" s="17" t="s">
        <v>149</v>
      </c>
      <c r="C20" s="1" t="s">
        <v>150</v>
      </c>
      <c r="D20" s="35">
        <v>45470</v>
      </c>
      <c r="E20" s="1">
        <v>2</v>
      </c>
      <c r="F20" s="36">
        <v>1</v>
      </c>
      <c r="G20" s="1">
        <v>1</v>
      </c>
      <c r="H20" s="1">
        <v>50</v>
      </c>
      <c r="I20" s="1">
        <v>2</v>
      </c>
      <c r="J20" s="1">
        <v>1</v>
      </c>
      <c r="K20" s="1">
        <v>10</v>
      </c>
      <c r="L20" s="1">
        <f t="shared" si="0"/>
        <v>3</v>
      </c>
      <c r="M20" s="1" t="s">
        <v>107</v>
      </c>
      <c r="N20" s="1" t="s">
        <v>108</v>
      </c>
      <c r="O20" s="1" t="s">
        <v>144</v>
      </c>
      <c r="P20" s="1" t="s">
        <v>110</v>
      </c>
      <c r="Q20" s="1" t="s">
        <v>110</v>
      </c>
      <c r="R20" s="7">
        <v>1</v>
      </c>
      <c r="S20" s="1">
        <v>4</v>
      </c>
      <c r="T20" s="1">
        <v>0.12644</v>
      </c>
      <c r="U20" s="1"/>
      <c r="V20" s="1"/>
      <c r="W20" s="1"/>
      <c r="X20" s="1"/>
      <c r="Y20" s="1"/>
      <c r="Z20" s="3"/>
      <c r="AA20" s="3">
        <v>1</v>
      </c>
      <c r="AB20" s="3">
        <v>1</v>
      </c>
      <c r="AC20" s="3">
        <v>1</v>
      </c>
      <c r="AD20" s="3">
        <v>3</v>
      </c>
      <c r="AE20" s="3">
        <v>1</v>
      </c>
      <c r="AF20" s="1"/>
      <c r="AG20" s="1">
        <v>1</v>
      </c>
      <c r="AH20" s="1"/>
      <c r="AI20" s="1"/>
      <c r="AJ20" s="1"/>
      <c r="AK20" s="1"/>
      <c r="AL20" s="1"/>
      <c r="AM20" s="1"/>
      <c r="AN20" s="1">
        <v>8</v>
      </c>
      <c r="AO20" s="7">
        <v>7</v>
      </c>
      <c r="AP20" s="7">
        <f t="shared" si="10"/>
        <v>0.49</v>
      </c>
      <c r="AQ20" s="7">
        <f t="shared" si="1"/>
        <v>6.1224489795918364</v>
      </c>
      <c r="AR20" s="7">
        <f t="shared" si="2"/>
        <v>0</v>
      </c>
      <c r="AS20" s="7">
        <f t="shared" si="3"/>
        <v>0.14285714285714285</v>
      </c>
      <c r="AT20" s="7">
        <f t="shared" si="4"/>
        <v>6.1224489795918364</v>
      </c>
      <c r="AU20" s="7">
        <f t="shared" si="5"/>
        <v>6.1224489795918364</v>
      </c>
      <c r="AV20" s="7">
        <f t="shared" si="6"/>
        <v>18.367346938775512</v>
      </c>
      <c r="AW20" s="7">
        <f t="shared" si="7"/>
        <v>6.1224489795918364</v>
      </c>
      <c r="AX20" s="7">
        <f t="shared" si="8"/>
        <v>18.367346938775512</v>
      </c>
      <c r="AY20" s="7">
        <v>0.28571400000000002</v>
      </c>
      <c r="AZ20" s="18">
        <v>22.714285714285715</v>
      </c>
      <c r="BA20" s="18">
        <v>159</v>
      </c>
      <c r="BB20" s="7">
        <v>1</v>
      </c>
      <c r="BC20" s="7">
        <v>205</v>
      </c>
      <c r="BD20" s="7">
        <f t="shared" si="9"/>
        <v>29.285714285714285</v>
      </c>
      <c r="BE20" s="7">
        <v>1</v>
      </c>
      <c r="BF20" s="1">
        <v>800</v>
      </c>
      <c r="BG20" s="7">
        <v>13960</v>
      </c>
      <c r="BH20" s="7">
        <v>30000</v>
      </c>
      <c r="BI20" s="7">
        <v>1500</v>
      </c>
      <c r="BJ20" s="7">
        <v>30</v>
      </c>
      <c r="BK20" s="1"/>
      <c r="BL20" s="1"/>
      <c r="BM20" s="1">
        <v>2</v>
      </c>
      <c r="BN20" s="1"/>
      <c r="BO20" s="1"/>
      <c r="BP20" s="1"/>
      <c r="BQ20" s="1"/>
      <c r="BR20" s="1">
        <v>1</v>
      </c>
      <c r="BS20" s="1"/>
      <c r="BT20" s="1">
        <v>1</v>
      </c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>
        <v>1</v>
      </c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7">
        <v>2</v>
      </c>
      <c r="CV20" s="7">
        <v>2</v>
      </c>
      <c r="CW20" s="7">
        <v>0</v>
      </c>
      <c r="CX20" s="7">
        <v>8</v>
      </c>
      <c r="CY20" s="1">
        <v>4</v>
      </c>
      <c r="CZ20" s="1"/>
      <c r="DA20" s="7">
        <v>1</v>
      </c>
      <c r="DB20" s="1"/>
      <c r="DC20" s="1">
        <v>1</v>
      </c>
      <c r="DD20" s="1"/>
      <c r="DE20" s="1"/>
      <c r="DF20" s="1">
        <v>1</v>
      </c>
      <c r="DG20" s="1"/>
      <c r="DH20" s="1"/>
      <c r="DI20" s="1"/>
      <c r="DJ20" s="1">
        <v>1</v>
      </c>
      <c r="DK20" s="1"/>
      <c r="DL20" s="1"/>
      <c r="DM20" s="1">
        <v>1</v>
      </c>
      <c r="DN20" s="1"/>
      <c r="DO20" s="1">
        <v>1</v>
      </c>
      <c r="DP20" s="1"/>
      <c r="DQ20" s="1">
        <v>1</v>
      </c>
      <c r="DR20" s="1"/>
      <c r="DS20" s="1"/>
      <c r="DT20" s="7">
        <v>3</v>
      </c>
      <c r="DU20" s="7">
        <v>1</v>
      </c>
      <c r="DV20" s="7">
        <v>116300</v>
      </c>
      <c r="DW20" s="1"/>
      <c r="DX20" s="7">
        <v>1100</v>
      </c>
      <c r="DY20" s="7">
        <v>1600</v>
      </c>
      <c r="DZ20" s="1"/>
      <c r="EA20" s="1"/>
      <c r="EB20" s="1"/>
      <c r="EC20" s="1" t="s">
        <v>111</v>
      </c>
      <c r="ED20" s="1" t="s">
        <v>112</v>
      </c>
      <c r="EE20" s="1">
        <v>1</v>
      </c>
      <c r="EF20" s="1">
        <v>1</v>
      </c>
      <c r="EG20" s="1" t="s">
        <v>113</v>
      </c>
      <c r="EH20" s="1" t="s">
        <v>114</v>
      </c>
      <c r="EI20" s="1" t="s">
        <v>111</v>
      </c>
      <c r="EJ20" s="1" t="s">
        <v>114</v>
      </c>
      <c r="EK20" s="1">
        <v>6</v>
      </c>
      <c r="EL20" s="1">
        <v>5</v>
      </c>
    </row>
    <row r="21" spans="1:142" x14ac:dyDescent="0.25">
      <c r="A21" s="5">
        <v>17</v>
      </c>
      <c r="B21" s="17" t="s">
        <v>151</v>
      </c>
      <c r="C21" s="1" t="s">
        <v>152</v>
      </c>
      <c r="D21" s="35">
        <v>45470</v>
      </c>
      <c r="E21" s="1">
        <v>2</v>
      </c>
      <c r="F21" s="36"/>
      <c r="G21" s="1">
        <v>1</v>
      </c>
      <c r="H21" s="1">
        <v>44</v>
      </c>
      <c r="I21" s="1">
        <v>12</v>
      </c>
      <c r="J21" s="1">
        <v>4</v>
      </c>
      <c r="K21" s="1">
        <v>0</v>
      </c>
      <c r="L21" s="1">
        <f t="shared" si="0"/>
        <v>0</v>
      </c>
      <c r="M21" s="1" t="s">
        <v>107</v>
      </c>
      <c r="N21" s="1" t="s">
        <v>120</v>
      </c>
      <c r="O21" s="1" t="s">
        <v>109</v>
      </c>
      <c r="P21" s="1" t="s">
        <v>110</v>
      </c>
      <c r="Q21" s="1" t="s">
        <v>110</v>
      </c>
      <c r="R21" s="7">
        <v>3</v>
      </c>
      <c r="S21" s="1">
        <v>4</v>
      </c>
      <c r="T21" s="1">
        <v>0</v>
      </c>
      <c r="U21" s="1"/>
      <c r="V21" s="1"/>
      <c r="W21" s="1"/>
      <c r="X21" s="1"/>
      <c r="Y21" s="1"/>
      <c r="Z21" s="3"/>
      <c r="AA21" s="3">
        <v>1</v>
      </c>
      <c r="AB21" s="3"/>
      <c r="AC21" s="3">
        <v>2</v>
      </c>
      <c r="AD21" s="3"/>
      <c r="AE21" s="3"/>
      <c r="AF21" s="1">
        <v>1</v>
      </c>
      <c r="AG21" s="1">
        <v>1</v>
      </c>
      <c r="AH21" s="1"/>
      <c r="AI21" s="1"/>
      <c r="AJ21" s="1"/>
      <c r="AK21" s="1"/>
      <c r="AL21" s="1"/>
      <c r="AM21" s="1"/>
      <c r="AN21" s="1">
        <v>10</v>
      </c>
      <c r="AO21" s="7">
        <v>3</v>
      </c>
      <c r="AP21" s="7">
        <f t="shared" si="10"/>
        <v>0.09</v>
      </c>
      <c r="AQ21" s="7">
        <f t="shared" si="1"/>
        <v>33.333333333333329</v>
      </c>
      <c r="AR21" s="7">
        <f t="shared" si="2"/>
        <v>0</v>
      </c>
      <c r="AS21" s="7">
        <f t="shared" si="3"/>
        <v>0.33333333333333331</v>
      </c>
      <c r="AT21" s="7">
        <f t="shared" si="4"/>
        <v>0</v>
      </c>
      <c r="AU21" s="7">
        <f t="shared" si="5"/>
        <v>66.666666666666657</v>
      </c>
      <c r="AV21" s="7">
        <f t="shared" si="6"/>
        <v>0</v>
      </c>
      <c r="AW21" s="7">
        <f t="shared" si="7"/>
        <v>0</v>
      </c>
      <c r="AX21" s="7">
        <f t="shared" si="8"/>
        <v>100</v>
      </c>
      <c r="AY21" s="7">
        <v>0.66666666669999997</v>
      </c>
      <c r="AZ21" s="18">
        <v>8.6666666666666661</v>
      </c>
      <c r="BA21" s="18">
        <v>26</v>
      </c>
      <c r="BB21" s="7">
        <v>0</v>
      </c>
      <c r="BC21" s="7">
        <v>39</v>
      </c>
      <c r="BD21" s="7">
        <f t="shared" si="9"/>
        <v>13</v>
      </c>
      <c r="BE21" s="7">
        <v>0</v>
      </c>
      <c r="BF21" s="1">
        <v>0</v>
      </c>
      <c r="BG21" s="7">
        <v>2570</v>
      </c>
      <c r="BH21" s="7">
        <v>30000</v>
      </c>
      <c r="BI21" s="7">
        <v>600</v>
      </c>
      <c r="BJ21" s="7">
        <v>12</v>
      </c>
      <c r="BK21" s="1"/>
      <c r="BL21" s="1"/>
      <c r="BM21" s="1"/>
      <c r="BN21" s="1"/>
      <c r="BO21" s="1"/>
      <c r="BP21" s="1"/>
      <c r="BQ21" s="1"/>
      <c r="BR21" s="1"/>
      <c r="BS21" s="1"/>
      <c r="BT21" s="1">
        <v>1</v>
      </c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7">
        <v>2</v>
      </c>
      <c r="CV21" s="7">
        <v>2</v>
      </c>
      <c r="CW21" s="7">
        <v>0</v>
      </c>
      <c r="CX21" s="7">
        <v>8</v>
      </c>
      <c r="CY21" s="1">
        <v>4</v>
      </c>
      <c r="CZ21" s="1"/>
      <c r="DA21" s="7">
        <v>1</v>
      </c>
      <c r="DB21" s="1"/>
      <c r="DC21" s="1"/>
      <c r="DD21" s="1"/>
      <c r="DE21" s="1"/>
      <c r="DF21" s="1">
        <v>1</v>
      </c>
      <c r="DG21" s="1"/>
      <c r="DH21" s="1"/>
      <c r="DI21" s="1"/>
      <c r="DJ21" s="1">
        <v>1</v>
      </c>
      <c r="DK21" s="1"/>
      <c r="DL21" s="1"/>
      <c r="DM21" s="1">
        <v>1</v>
      </c>
      <c r="DN21" s="1"/>
      <c r="DO21" s="1"/>
      <c r="DP21" s="1"/>
      <c r="DQ21" s="1">
        <v>1</v>
      </c>
      <c r="DR21" s="1"/>
      <c r="DS21" s="1"/>
      <c r="DT21" s="7">
        <v>3</v>
      </c>
      <c r="DU21" s="7">
        <v>2</v>
      </c>
      <c r="DV21" s="1"/>
      <c r="DW21" s="1"/>
      <c r="DX21" s="7">
        <v>600</v>
      </c>
      <c r="DY21" s="7">
        <v>500</v>
      </c>
      <c r="DZ21" s="1"/>
      <c r="EA21" s="1"/>
      <c r="EB21" s="1"/>
      <c r="EC21" s="1" t="s">
        <v>111</v>
      </c>
      <c r="ED21" s="1" t="s">
        <v>112</v>
      </c>
      <c r="EE21" s="1">
        <v>1</v>
      </c>
      <c r="EF21" s="1">
        <v>1</v>
      </c>
      <c r="EG21" s="1" t="s">
        <v>113</v>
      </c>
      <c r="EH21" s="1" t="s">
        <v>114</v>
      </c>
      <c r="EI21" s="1" t="s">
        <v>111</v>
      </c>
      <c r="EJ21" s="1" t="s">
        <v>114</v>
      </c>
      <c r="EK21" s="1">
        <v>5</v>
      </c>
      <c r="EL21" s="1">
        <v>5</v>
      </c>
    </row>
    <row r="22" spans="1:142" x14ac:dyDescent="0.25">
      <c r="A22" s="5">
        <v>18</v>
      </c>
      <c r="B22" s="17" t="s">
        <v>153</v>
      </c>
      <c r="C22" s="1" t="s">
        <v>154</v>
      </c>
      <c r="D22" s="35">
        <v>45470</v>
      </c>
      <c r="E22" s="1">
        <v>2</v>
      </c>
      <c r="F22" s="36"/>
      <c r="G22" s="1">
        <v>1</v>
      </c>
      <c r="H22" s="1">
        <v>49</v>
      </c>
      <c r="I22" s="1">
        <v>2</v>
      </c>
      <c r="J22" s="1">
        <v>1</v>
      </c>
      <c r="K22" s="1">
        <v>0</v>
      </c>
      <c r="L22" s="1">
        <f t="shared" si="0"/>
        <v>0</v>
      </c>
      <c r="M22" s="1" t="s">
        <v>107</v>
      </c>
      <c r="N22" s="1" t="s">
        <v>108</v>
      </c>
      <c r="O22" s="1" t="s">
        <v>117</v>
      </c>
      <c r="P22" s="1" t="s">
        <v>110</v>
      </c>
      <c r="Q22" s="1" t="s">
        <v>110</v>
      </c>
      <c r="R22" s="7">
        <v>2</v>
      </c>
      <c r="S22" s="1">
        <v>2</v>
      </c>
      <c r="T22" s="1">
        <v>0</v>
      </c>
      <c r="U22" s="1">
        <v>1</v>
      </c>
      <c r="V22" s="1"/>
      <c r="W22" s="1"/>
      <c r="X22" s="1"/>
      <c r="Y22" s="1">
        <v>2</v>
      </c>
      <c r="Z22" s="3">
        <v>1</v>
      </c>
      <c r="AA22" s="3"/>
      <c r="AB22" s="3"/>
      <c r="AC22" s="3">
        <v>2</v>
      </c>
      <c r="AD22" s="3"/>
      <c r="AE22" s="3">
        <v>1</v>
      </c>
      <c r="AF22" s="1"/>
      <c r="AG22" s="1">
        <v>1</v>
      </c>
      <c r="AH22" s="1"/>
      <c r="AI22" s="1"/>
      <c r="AJ22" s="1"/>
      <c r="AK22" s="1"/>
      <c r="AL22" s="1">
        <v>3</v>
      </c>
      <c r="AM22" s="1">
        <v>2</v>
      </c>
      <c r="AN22" s="1">
        <v>10</v>
      </c>
      <c r="AO22" s="7">
        <v>4</v>
      </c>
      <c r="AP22" s="7">
        <f t="shared" si="10"/>
        <v>0.19</v>
      </c>
      <c r="AQ22" s="7">
        <f t="shared" si="1"/>
        <v>15.789473684210526</v>
      </c>
      <c r="AR22" s="7">
        <f t="shared" si="2"/>
        <v>0.25</v>
      </c>
      <c r="AS22" s="7">
        <f t="shared" si="3"/>
        <v>0</v>
      </c>
      <c r="AT22" s="7">
        <f t="shared" si="4"/>
        <v>0</v>
      </c>
      <c r="AU22" s="7">
        <f t="shared" si="5"/>
        <v>31.578947368421051</v>
      </c>
      <c r="AV22" s="7">
        <f t="shared" si="6"/>
        <v>0</v>
      </c>
      <c r="AW22" s="7">
        <f t="shared" si="7"/>
        <v>15.789473684210526</v>
      </c>
      <c r="AX22" s="7">
        <f t="shared" si="8"/>
        <v>47.368421052631575</v>
      </c>
      <c r="AY22" s="7">
        <v>0.5</v>
      </c>
      <c r="AZ22" s="18">
        <v>13.75</v>
      </c>
      <c r="BA22" s="18">
        <v>55</v>
      </c>
      <c r="BB22" s="7">
        <v>0.5</v>
      </c>
      <c r="BC22" s="7">
        <v>73</v>
      </c>
      <c r="BD22" s="7">
        <f t="shared" si="9"/>
        <v>18.25</v>
      </c>
      <c r="BE22" s="7">
        <v>1</v>
      </c>
      <c r="BF22" s="1">
        <v>600</v>
      </c>
      <c r="BG22" s="7">
        <v>5130</v>
      </c>
      <c r="BH22" s="7">
        <v>15000</v>
      </c>
      <c r="BI22" s="7">
        <v>900</v>
      </c>
      <c r="BJ22" s="7">
        <v>18</v>
      </c>
      <c r="BK22" s="1"/>
      <c r="BL22" s="1"/>
      <c r="BM22" s="1"/>
      <c r="BN22" s="1"/>
      <c r="BO22" s="1"/>
      <c r="BP22" s="1">
        <v>1</v>
      </c>
      <c r="BQ22" s="1">
        <v>1</v>
      </c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7">
        <v>2</v>
      </c>
      <c r="CV22" s="7">
        <v>2</v>
      </c>
      <c r="CW22" s="7">
        <v>0</v>
      </c>
      <c r="CX22" s="7">
        <v>8</v>
      </c>
      <c r="CY22" s="1">
        <v>2</v>
      </c>
      <c r="CZ22" s="1"/>
      <c r="DA22" s="7">
        <v>1</v>
      </c>
      <c r="DB22" s="1"/>
      <c r="DC22" s="1"/>
      <c r="DD22" s="1"/>
      <c r="DE22" s="1"/>
      <c r="DF22" s="1">
        <v>1</v>
      </c>
      <c r="DG22" s="1"/>
      <c r="DH22" s="1"/>
      <c r="DI22" s="1"/>
      <c r="DJ22" s="1">
        <v>1</v>
      </c>
      <c r="DK22" s="1"/>
      <c r="DL22" s="1"/>
      <c r="DM22" s="1">
        <v>1</v>
      </c>
      <c r="DN22" s="1"/>
      <c r="DO22" s="1"/>
      <c r="DP22" s="1"/>
      <c r="DQ22" s="1">
        <v>1</v>
      </c>
      <c r="DR22" s="1"/>
      <c r="DS22" s="1"/>
      <c r="DT22" s="7">
        <v>3</v>
      </c>
      <c r="DU22" s="7">
        <v>1</v>
      </c>
      <c r="DV22" s="7">
        <v>112200</v>
      </c>
      <c r="DW22" s="1"/>
      <c r="DX22" s="7">
        <v>600</v>
      </c>
      <c r="DY22" s="7">
        <v>1200</v>
      </c>
      <c r="DZ22" s="1"/>
      <c r="EA22" s="1"/>
      <c r="EB22" s="1"/>
      <c r="EC22" s="1" t="s">
        <v>111</v>
      </c>
      <c r="ED22" s="1" t="s">
        <v>112</v>
      </c>
      <c r="EE22" s="1">
        <v>1</v>
      </c>
      <c r="EF22" s="1">
        <v>1</v>
      </c>
      <c r="EG22" s="1" t="s">
        <v>113</v>
      </c>
      <c r="EH22" s="1" t="s">
        <v>114</v>
      </c>
      <c r="EI22" s="1" t="s">
        <v>111</v>
      </c>
      <c r="EJ22" s="1" t="s">
        <v>114</v>
      </c>
      <c r="EK22" s="1">
        <v>5</v>
      </c>
      <c r="EL22" s="1">
        <v>4</v>
      </c>
    </row>
    <row r="23" spans="1:142" x14ac:dyDescent="0.25">
      <c r="A23" s="5">
        <v>19</v>
      </c>
      <c r="B23" s="17" t="s">
        <v>155</v>
      </c>
      <c r="C23" s="1" t="s">
        <v>156</v>
      </c>
      <c r="D23" s="35">
        <v>45625</v>
      </c>
      <c r="E23" s="1">
        <v>2</v>
      </c>
      <c r="F23" s="36">
        <v>1</v>
      </c>
      <c r="G23" s="1">
        <v>1</v>
      </c>
      <c r="H23" s="1">
        <v>50</v>
      </c>
      <c r="I23" s="1">
        <v>3</v>
      </c>
      <c r="J23" s="1">
        <v>9</v>
      </c>
      <c r="K23" s="1">
        <v>0</v>
      </c>
      <c r="L23" s="1">
        <f t="shared" si="0"/>
        <v>0</v>
      </c>
      <c r="M23" s="1" t="s">
        <v>107</v>
      </c>
      <c r="N23" s="1" t="s">
        <v>144</v>
      </c>
      <c r="O23" s="1" t="s">
        <v>109</v>
      </c>
      <c r="P23" s="1" t="s">
        <v>110</v>
      </c>
      <c r="Q23" s="1" t="s">
        <v>110</v>
      </c>
      <c r="R23" s="7">
        <v>2</v>
      </c>
      <c r="S23" s="1">
        <v>3</v>
      </c>
      <c r="T23" s="1">
        <v>0</v>
      </c>
      <c r="U23" s="1"/>
      <c r="V23" s="1"/>
      <c r="W23" s="1"/>
      <c r="X23" s="1"/>
      <c r="Y23" s="1"/>
      <c r="Z23" s="3"/>
      <c r="AA23" s="3">
        <v>2</v>
      </c>
      <c r="AB23" s="3"/>
      <c r="AC23" s="3"/>
      <c r="AD23" s="3">
        <v>1</v>
      </c>
      <c r="AE23" s="3">
        <v>2</v>
      </c>
      <c r="AF23" s="1"/>
      <c r="AG23" s="1">
        <v>1</v>
      </c>
      <c r="AH23" s="1"/>
      <c r="AI23" s="1"/>
      <c r="AJ23" s="1"/>
      <c r="AK23" s="1"/>
      <c r="AL23" s="1">
        <v>1</v>
      </c>
      <c r="AM23" s="1">
        <v>1</v>
      </c>
      <c r="AN23" s="1">
        <v>10</v>
      </c>
      <c r="AO23" s="7">
        <v>5</v>
      </c>
      <c r="AP23" s="7">
        <f t="shared" si="10"/>
        <v>0.36000000000000004</v>
      </c>
      <c r="AQ23" s="7">
        <f t="shared" si="1"/>
        <v>16.666666666666664</v>
      </c>
      <c r="AR23" s="7">
        <f t="shared" si="2"/>
        <v>0</v>
      </c>
      <c r="AS23" s="7">
        <f t="shared" si="3"/>
        <v>0.4</v>
      </c>
      <c r="AT23" s="7">
        <f t="shared" si="4"/>
        <v>0</v>
      </c>
      <c r="AU23" s="7">
        <f t="shared" si="5"/>
        <v>0</v>
      </c>
      <c r="AV23" s="7">
        <f t="shared" si="6"/>
        <v>8.3333333333333321</v>
      </c>
      <c r="AW23" s="7">
        <f t="shared" si="7"/>
        <v>16.666666666666664</v>
      </c>
      <c r="AX23" s="7">
        <f t="shared" si="8"/>
        <v>33.333333333333329</v>
      </c>
      <c r="AY23" s="7">
        <v>0.4</v>
      </c>
      <c r="AZ23" s="18">
        <v>18.399999999999999</v>
      </c>
      <c r="BA23" s="18">
        <v>92</v>
      </c>
      <c r="BB23" s="7">
        <v>0</v>
      </c>
      <c r="BC23" s="7">
        <v>127</v>
      </c>
      <c r="BD23" s="7">
        <f t="shared" si="9"/>
        <v>25.4</v>
      </c>
      <c r="BE23" s="7">
        <v>2</v>
      </c>
      <c r="BF23" s="1">
        <v>675</v>
      </c>
      <c r="BG23" s="7">
        <v>8080</v>
      </c>
      <c r="BH23" s="7">
        <v>30000</v>
      </c>
      <c r="BI23" s="7">
        <v>1000</v>
      </c>
      <c r="BJ23" s="7">
        <v>20</v>
      </c>
      <c r="BK23" s="1"/>
      <c r="BL23" s="1"/>
      <c r="BM23" s="1">
        <v>1</v>
      </c>
      <c r="BN23" s="1"/>
      <c r="BO23" s="1"/>
      <c r="BP23" s="1">
        <v>2</v>
      </c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>
        <v>1</v>
      </c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7">
        <v>2</v>
      </c>
      <c r="CV23" s="7">
        <v>2</v>
      </c>
      <c r="CW23" s="7">
        <v>0</v>
      </c>
      <c r="CX23" s="7">
        <v>8</v>
      </c>
      <c r="CY23" s="1">
        <v>4</v>
      </c>
      <c r="CZ23" s="1"/>
      <c r="DA23" s="7">
        <v>1</v>
      </c>
      <c r="DB23" s="1"/>
      <c r="DC23" s="1"/>
      <c r="DD23" s="1"/>
      <c r="DE23" s="1"/>
      <c r="DF23" s="1">
        <v>1</v>
      </c>
      <c r="DG23" s="1"/>
      <c r="DH23" s="1"/>
      <c r="DI23" s="1"/>
      <c r="DJ23" s="1">
        <v>1</v>
      </c>
      <c r="DK23" s="1"/>
      <c r="DL23" s="1"/>
      <c r="DM23" s="1">
        <v>1</v>
      </c>
      <c r="DN23" s="1"/>
      <c r="DO23" s="1"/>
      <c r="DP23" s="1"/>
      <c r="DQ23" s="1">
        <v>1</v>
      </c>
      <c r="DR23" s="1"/>
      <c r="DS23" s="1"/>
      <c r="DT23" s="7">
        <v>3</v>
      </c>
      <c r="DU23" s="7">
        <v>2</v>
      </c>
      <c r="DV23" s="1"/>
      <c r="DW23" s="1"/>
      <c r="DX23" s="7">
        <v>900</v>
      </c>
      <c r="DY23" s="7">
        <v>1600</v>
      </c>
      <c r="DZ23" s="1"/>
      <c r="EA23" s="1"/>
      <c r="EB23" s="1"/>
      <c r="EC23" s="1" t="s">
        <v>111</v>
      </c>
      <c r="ED23" s="1" t="s">
        <v>112</v>
      </c>
      <c r="EE23" s="1">
        <v>1</v>
      </c>
      <c r="EF23" s="1">
        <v>1</v>
      </c>
      <c r="EG23" s="1" t="s">
        <v>113</v>
      </c>
      <c r="EH23" s="1" t="s">
        <v>114</v>
      </c>
      <c r="EI23" s="1" t="s">
        <v>111</v>
      </c>
      <c r="EJ23" s="1" t="s">
        <v>114</v>
      </c>
      <c r="EK23" s="1">
        <v>5</v>
      </c>
      <c r="EL23" s="1">
        <v>5</v>
      </c>
    </row>
    <row r="24" spans="1:142" x14ac:dyDescent="0.25">
      <c r="A24" s="5">
        <v>20</v>
      </c>
      <c r="B24" s="17" t="s">
        <v>157</v>
      </c>
      <c r="C24" s="1" t="s">
        <v>158</v>
      </c>
      <c r="D24" s="35">
        <v>45625</v>
      </c>
      <c r="E24" s="1">
        <v>2</v>
      </c>
      <c r="F24" s="36"/>
      <c r="G24" s="1">
        <v>1</v>
      </c>
      <c r="H24" s="1">
        <v>30</v>
      </c>
      <c r="I24" s="1">
        <v>2</v>
      </c>
      <c r="J24" s="1">
        <v>1</v>
      </c>
      <c r="K24" s="1">
        <v>12</v>
      </c>
      <c r="L24" s="1">
        <f t="shared" si="0"/>
        <v>4</v>
      </c>
      <c r="M24" s="1" t="s">
        <v>107</v>
      </c>
      <c r="N24" s="1" t="s">
        <v>108</v>
      </c>
      <c r="O24" s="1" t="s">
        <v>117</v>
      </c>
      <c r="P24" s="1" t="s">
        <v>110</v>
      </c>
      <c r="Q24" s="1" t="s">
        <v>110</v>
      </c>
      <c r="R24" s="7">
        <v>3</v>
      </c>
      <c r="S24" s="1">
        <v>3</v>
      </c>
      <c r="T24" s="1">
        <v>0.151728</v>
      </c>
      <c r="U24" s="1"/>
      <c r="V24" s="1"/>
      <c r="W24" s="1"/>
      <c r="X24" s="1"/>
      <c r="Y24" s="1"/>
      <c r="Z24" s="3"/>
      <c r="AA24" s="3">
        <v>2</v>
      </c>
      <c r="AB24" s="3"/>
      <c r="AC24" s="3"/>
      <c r="AD24" s="3"/>
      <c r="AE24" s="3"/>
      <c r="AF24" s="1"/>
      <c r="AG24" s="1"/>
      <c r="AH24" s="1"/>
      <c r="AI24" s="1"/>
      <c r="AJ24" s="1"/>
      <c r="AK24" s="1"/>
      <c r="AL24" s="1"/>
      <c r="AM24" s="1"/>
      <c r="AN24" s="1">
        <v>10</v>
      </c>
      <c r="AO24" s="7">
        <v>2</v>
      </c>
      <c r="AP24" s="7">
        <f t="shared" si="10"/>
        <v>0.06</v>
      </c>
      <c r="AQ24" s="7">
        <f t="shared" si="1"/>
        <v>100</v>
      </c>
      <c r="AR24" s="7">
        <f t="shared" si="2"/>
        <v>0</v>
      </c>
      <c r="AS24" s="7">
        <f t="shared" si="3"/>
        <v>1</v>
      </c>
      <c r="AT24" s="7">
        <f t="shared" si="4"/>
        <v>0</v>
      </c>
      <c r="AU24" s="7">
        <f t="shared" si="5"/>
        <v>0</v>
      </c>
      <c r="AV24" s="7">
        <f t="shared" si="6"/>
        <v>0</v>
      </c>
      <c r="AW24" s="7">
        <f t="shared" si="7"/>
        <v>0</v>
      </c>
      <c r="AX24" s="7">
        <f t="shared" si="8"/>
        <v>100</v>
      </c>
      <c r="AY24" s="7">
        <v>1</v>
      </c>
      <c r="AZ24" s="18">
        <v>6</v>
      </c>
      <c r="BA24" s="18">
        <v>12</v>
      </c>
      <c r="BB24" s="7">
        <v>0</v>
      </c>
      <c r="BC24" s="7">
        <v>22</v>
      </c>
      <c r="BD24" s="7">
        <f t="shared" si="9"/>
        <v>11</v>
      </c>
      <c r="BE24" s="7">
        <v>0</v>
      </c>
      <c r="BF24" s="1">
        <v>0</v>
      </c>
      <c r="BG24" s="7">
        <v>1180</v>
      </c>
      <c r="BH24" s="7">
        <v>15000</v>
      </c>
      <c r="BI24" s="7">
        <v>400</v>
      </c>
      <c r="BJ24" s="7">
        <v>8</v>
      </c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7">
        <v>2</v>
      </c>
      <c r="CV24" s="7">
        <v>2</v>
      </c>
      <c r="CW24" s="7">
        <v>0</v>
      </c>
      <c r="CX24" s="7">
        <v>8</v>
      </c>
      <c r="CY24" s="1">
        <v>2</v>
      </c>
      <c r="CZ24" s="1"/>
      <c r="DA24" s="7">
        <v>1</v>
      </c>
      <c r="DB24" s="1"/>
      <c r="DC24" s="1"/>
      <c r="DD24" s="1"/>
      <c r="DE24" s="1"/>
      <c r="DF24" s="1">
        <v>1</v>
      </c>
      <c r="DG24" s="1"/>
      <c r="DH24" s="1"/>
      <c r="DI24" s="1"/>
      <c r="DJ24" s="1">
        <v>1</v>
      </c>
      <c r="DK24" s="1"/>
      <c r="DL24" s="1"/>
      <c r="DM24" s="1">
        <v>1</v>
      </c>
      <c r="DN24" s="1"/>
      <c r="DO24" s="1"/>
      <c r="DP24" s="1"/>
      <c r="DQ24" s="1">
        <v>1</v>
      </c>
      <c r="DR24" s="1"/>
      <c r="DS24" s="1"/>
      <c r="DT24" s="7">
        <v>3</v>
      </c>
      <c r="DU24" s="7">
        <v>2</v>
      </c>
      <c r="DV24" s="1"/>
      <c r="DW24" s="1"/>
      <c r="DX24" s="7">
        <v>300</v>
      </c>
      <c r="DY24" s="7">
        <v>800</v>
      </c>
      <c r="DZ24" s="1"/>
      <c r="EA24" s="1"/>
      <c r="EB24" s="1"/>
      <c r="EC24" s="1" t="s">
        <v>111</v>
      </c>
      <c r="ED24" s="1" t="s">
        <v>112</v>
      </c>
      <c r="EE24" s="1">
        <v>1</v>
      </c>
      <c r="EF24" s="1">
        <v>1</v>
      </c>
      <c r="EG24" s="1" t="s">
        <v>113</v>
      </c>
      <c r="EH24" s="1" t="s">
        <v>114</v>
      </c>
      <c r="EI24" s="1" t="s">
        <v>111</v>
      </c>
      <c r="EJ24" s="1" t="s">
        <v>114</v>
      </c>
      <c r="EK24" s="1">
        <v>6</v>
      </c>
      <c r="EL24" s="1">
        <v>5</v>
      </c>
    </row>
    <row r="25" spans="1:142" x14ac:dyDescent="0.25">
      <c r="A25" s="5">
        <v>21</v>
      </c>
      <c r="B25" s="17" t="s">
        <v>159</v>
      </c>
      <c r="C25" s="1" t="s">
        <v>160</v>
      </c>
      <c r="D25" s="35">
        <v>45366</v>
      </c>
      <c r="E25" s="1">
        <v>2</v>
      </c>
      <c r="F25" s="36">
        <v>1</v>
      </c>
      <c r="G25" s="1">
        <v>1</v>
      </c>
      <c r="H25" s="1">
        <v>54</v>
      </c>
      <c r="I25" s="1">
        <v>1</v>
      </c>
      <c r="J25" s="1">
        <v>1</v>
      </c>
      <c r="K25" s="1">
        <v>8</v>
      </c>
      <c r="L25" s="1">
        <f t="shared" si="0"/>
        <v>2</v>
      </c>
      <c r="M25" s="1" t="s">
        <v>107</v>
      </c>
      <c r="N25" s="1" t="s">
        <v>108</v>
      </c>
      <c r="O25" s="1" t="s">
        <v>144</v>
      </c>
      <c r="P25" s="1" t="s">
        <v>110</v>
      </c>
      <c r="Q25" s="1" t="s">
        <v>110</v>
      </c>
      <c r="R25" s="7">
        <v>3</v>
      </c>
      <c r="S25" s="1">
        <v>3</v>
      </c>
      <c r="T25" s="1">
        <v>0</v>
      </c>
      <c r="U25" s="1"/>
      <c r="V25" s="1"/>
      <c r="W25" s="1"/>
      <c r="X25" s="1"/>
      <c r="Y25" s="1"/>
      <c r="Z25" s="3"/>
      <c r="AA25" s="3"/>
      <c r="AB25" s="3"/>
      <c r="AC25" s="3"/>
      <c r="AD25" s="3">
        <v>1</v>
      </c>
      <c r="AE25" s="3">
        <v>3</v>
      </c>
      <c r="AF25" s="1"/>
      <c r="AG25" s="1">
        <v>1</v>
      </c>
      <c r="AH25" s="1"/>
      <c r="AI25" s="1"/>
      <c r="AJ25" s="1"/>
      <c r="AK25" s="1"/>
      <c r="AL25" s="1"/>
      <c r="AM25" s="1"/>
      <c r="AN25" s="1">
        <v>10</v>
      </c>
      <c r="AO25" s="7">
        <v>4</v>
      </c>
      <c r="AP25" s="7">
        <f t="shared" si="10"/>
        <v>0.4</v>
      </c>
      <c r="AQ25" s="7">
        <f t="shared" si="1"/>
        <v>0</v>
      </c>
      <c r="AR25" s="7">
        <f t="shared" si="2"/>
        <v>0</v>
      </c>
      <c r="AS25" s="7">
        <f t="shared" si="3"/>
        <v>0</v>
      </c>
      <c r="AT25" s="7">
        <f t="shared" si="4"/>
        <v>0</v>
      </c>
      <c r="AU25" s="7">
        <f t="shared" si="5"/>
        <v>0</v>
      </c>
      <c r="AV25" s="7">
        <f t="shared" si="6"/>
        <v>7.5</v>
      </c>
      <c r="AW25" s="7">
        <f t="shared" si="7"/>
        <v>22.499999999999996</v>
      </c>
      <c r="AX25" s="7">
        <f t="shared" si="8"/>
        <v>22.499999999999996</v>
      </c>
      <c r="AY25" s="7">
        <v>0.75</v>
      </c>
      <c r="AZ25" s="18">
        <v>16.5</v>
      </c>
      <c r="BA25" s="18">
        <v>66</v>
      </c>
      <c r="BB25" s="7">
        <v>0</v>
      </c>
      <c r="BC25" s="7">
        <v>99</v>
      </c>
      <c r="BD25" s="7">
        <f t="shared" si="9"/>
        <v>24.75</v>
      </c>
      <c r="BE25" s="7">
        <v>1</v>
      </c>
      <c r="BF25" s="1">
        <v>600</v>
      </c>
      <c r="BG25" s="7">
        <v>6190</v>
      </c>
      <c r="BH25" s="7">
        <v>30000</v>
      </c>
      <c r="BI25" s="7">
        <v>800</v>
      </c>
      <c r="BJ25" s="7">
        <v>16</v>
      </c>
      <c r="BK25" s="1"/>
      <c r="BL25" s="1"/>
      <c r="BM25" s="1"/>
      <c r="BN25" s="1"/>
      <c r="BO25" s="1"/>
      <c r="BP25" s="1">
        <v>1</v>
      </c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7">
        <v>2</v>
      </c>
      <c r="CV25" s="7">
        <v>2</v>
      </c>
      <c r="CW25" s="7">
        <v>0</v>
      </c>
      <c r="CX25" s="7">
        <v>8</v>
      </c>
      <c r="CY25" s="1">
        <v>4</v>
      </c>
      <c r="CZ25" s="1"/>
      <c r="DA25" s="7">
        <v>1</v>
      </c>
      <c r="DB25" s="1"/>
      <c r="DC25" s="1"/>
      <c r="DD25" s="1"/>
      <c r="DE25" s="1"/>
      <c r="DF25" s="1">
        <v>1</v>
      </c>
      <c r="DG25" s="1"/>
      <c r="DH25" s="1"/>
      <c r="DI25" s="1"/>
      <c r="DJ25" s="1">
        <v>1</v>
      </c>
      <c r="DK25" s="1"/>
      <c r="DL25" s="1"/>
      <c r="DM25" s="1">
        <v>1</v>
      </c>
      <c r="DN25" s="1"/>
      <c r="DO25" s="1"/>
      <c r="DP25" s="1"/>
      <c r="DQ25" s="1">
        <v>1</v>
      </c>
      <c r="DR25" s="1"/>
      <c r="DS25" s="1"/>
      <c r="DT25" s="7">
        <v>3</v>
      </c>
      <c r="DU25" s="7">
        <v>1</v>
      </c>
      <c r="DV25" s="7">
        <v>114600</v>
      </c>
      <c r="DW25" s="1"/>
      <c r="DX25" s="7">
        <v>800</v>
      </c>
      <c r="DY25" s="7">
        <v>1200</v>
      </c>
      <c r="DZ25" s="1"/>
      <c r="EA25" s="1"/>
      <c r="EB25" s="1"/>
      <c r="EC25" s="1" t="s">
        <v>111</v>
      </c>
      <c r="ED25" s="1" t="s">
        <v>112</v>
      </c>
      <c r="EE25" s="1">
        <v>1</v>
      </c>
      <c r="EF25" s="1">
        <v>1</v>
      </c>
      <c r="EG25" s="1" t="s">
        <v>113</v>
      </c>
      <c r="EH25" s="1" t="s">
        <v>114</v>
      </c>
      <c r="EI25" s="1" t="s">
        <v>111</v>
      </c>
      <c r="EJ25" s="1" t="s">
        <v>114</v>
      </c>
      <c r="EK25" s="1">
        <v>5</v>
      </c>
      <c r="EL25" s="1">
        <v>5</v>
      </c>
    </row>
    <row r="26" spans="1:142" x14ac:dyDescent="0.25">
      <c r="A26" s="5">
        <v>22</v>
      </c>
      <c r="B26" s="37" t="s">
        <v>161</v>
      </c>
      <c r="C26" s="1" t="s">
        <v>162</v>
      </c>
      <c r="D26" s="35">
        <v>45366</v>
      </c>
      <c r="E26" s="1">
        <v>2</v>
      </c>
      <c r="F26" s="36"/>
      <c r="G26" s="1">
        <v>1</v>
      </c>
      <c r="H26" s="1">
        <v>38</v>
      </c>
      <c r="I26" s="1">
        <v>2</v>
      </c>
      <c r="J26" s="1">
        <v>1</v>
      </c>
      <c r="K26" s="1">
        <v>12</v>
      </c>
      <c r="L26" s="1">
        <f t="shared" si="0"/>
        <v>4</v>
      </c>
      <c r="M26" s="1" t="s">
        <v>107</v>
      </c>
      <c r="N26" s="1" t="s">
        <v>109</v>
      </c>
      <c r="O26" s="1" t="s">
        <v>117</v>
      </c>
      <c r="P26" s="1" t="s">
        <v>110</v>
      </c>
      <c r="Q26" s="1" t="s">
        <v>110</v>
      </c>
      <c r="R26" s="7">
        <v>3</v>
      </c>
      <c r="S26" s="1">
        <v>8</v>
      </c>
      <c r="T26" s="1">
        <v>1.01152</v>
      </c>
      <c r="U26" s="1"/>
      <c r="V26" s="1"/>
      <c r="W26" s="1"/>
      <c r="X26" s="1"/>
      <c r="Y26" s="1"/>
      <c r="Z26" s="3">
        <v>1</v>
      </c>
      <c r="AA26" s="3">
        <v>2</v>
      </c>
      <c r="AB26" s="3"/>
      <c r="AC26" s="3"/>
      <c r="AD26" s="3">
        <v>1</v>
      </c>
      <c r="AE26" s="3">
        <v>4</v>
      </c>
      <c r="AF26" s="1">
        <v>1</v>
      </c>
      <c r="AG26" s="1">
        <v>1</v>
      </c>
      <c r="AH26" s="1"/>
      <c r="AI26" s="1"/>
      <c r="AJ26" s="1"/>
      <c r="AK26" s="1"/>
      <c r="AL26" s="1">
        <v>1</v>
      </c>
      <c r="AM26" s="1">
        <v>10</v>
      </c>
      <c r="AN26" s="1">
        <v>32</v>
      </c>
      <c r="AO26" s="7">
        <v>8</v>
      </c>
      <c r="AP26" s="7">
        <f t="shared" si="10"/>
        <v>0.59</v>
      </c>
      <c r="AQ26" s="7">
        <f t="shared" si="1"/>
        <v>15.254237288135593</v>
      </c>
      <c r="AR26" s="7">
        <f t="shared" si="2"/>
        <v>0.125</v>
      </c>
      <c r="AS26" s="7">
        <f t="shared" si="3"/>
        <v>0.25</v>
      </c>
      <c r="AT26" s="7">
        <f t="shared" si="4"/>
        <v>0</v>
      </c>
      <c r="AU26" s="7">
        <f t="shared" si="5"/>
        <v>0</v>
      </c>
      <c r="AV26" s="7">
        <f t="shared" si="6"/>
        <v>5.0847457627118651</v>
      </c>
      <c r="AW26" s="7">
        <f t="shared" si="7"/>
        <v>20.33898305084746</v>
      </c>
      <c r="AX26" s="7">
        <f t="shared" si="8"/>
        <v>30.508474576271187</v>
      </c>
      <c r="AY26" s="7">
        <v>0.25</v>
      </c>
      <c r="AZ26" s="18">
        <v>14.5</v>
      </c>
      <c r="BA26" s="18">
        <v>116</v>
      </c>
      <c r="BB26" s="7">
        <v>0.5</v>
      </c>
      <c r="BC26" s="7">
        <v>163</v>
      </c>
      <c r="BD26" s="7">
        <f t="shared" si="9"/>
        <v>20.375</v>
      </c>
      <c r="BE26" s="7">
        <v>2</v>
      </c>
      <c r="BF26" s="1">
        <v>625</v>
      </c>
      <c r="BG26" s="7">
        <v>10600</v>
      </c>
      <c r="BH26" s="7">
        <v>30000</v>
      </c>
      <c r="BI26" s="7">
        <v>1700</v>
      </c>
      <c r="BJ26" s="7">
        <v>34</v>
      </c>
      <c r="BK26" s="1"/>
      <c r="BL26" s="1"/>
      <c r="BM26" s="1">
        <v>1</v>
      </c>
      <c r="BN26" s="1"/>
      <c r="BO26" s="1"/>
      <c r="BP26" s="1">
        <v>2</v>
      </c>
      <c r="BQ26" s="1">
        <v>1</v>
      </c>
      <c r="BR26" s="1"/>
      <c r="BS26" s="1"/>
      <c r="BT26" s="1">
        <v>2</v>
      </c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7">
        <v>2</v>
      </c>
      <c r="CV26" s="7">
        <v>2</v>
      </c>
      <c r="CW26" s="7">
        <v>0</v>
      </c>
      <c r="CX26" s="7">
        <v>8</v>
      </c>
      <c r="CY26" s="1">
        <v>4</v>
      </c>
      <c r="CZ26" s="1"/>
      <c r="DA26" s="7">
        <v>1</v>
      </c>
      <c r="DB26" s="1"/>
      <c r="DC26" s="1">
        <v>1</v>
      </c>
      <c r="DD26" s="1"/>
      <c r="DE26" s="1"/>
      <c r="DF26" s="1">
        <v>1</v>
      </c>
      <c r="DG26" s="1"/>
      <c r="DH26" s="1"/>
      <c r="DI26" s="1"/>
      <c r="DJ26" s="1">
        <v>1</v>
      </c>
      <c r="DK26" s="1"/>
      <c r="DL26" s="1"/>
      <c r="DM26" s="1">
        <v>1</v>
      </c>
      <c r="DN26" s="1"/>
      <c r="DO26" s="1">
        <v>1</v>
      </c>
      <c r="DP26" s="1"/>
      <c r="DQ26" s="1">
        <v>1</v>
      </c>
      <c r="DR26" s="1"/>
      <c r="DS26" s="1"/>
      <c r="DT26" s="7">
        <v>3</v>
      </c>
      <c r="DU26" s="7">
        <v>3</v>
      </c>
      <c r="DV26" s="1"/>
      <c r="DW26" s="1"/>
      <c r="DX26" s="7">
        <v>1300</v>
      </c>
      <c r="DY26" s="7">
        <v>1800</v>
      </c>
      <c r="DZ26" s="1"/>
      <c r="EA26" s="1"/>
      <c r="EB26" s="1"/>
      <c r="EC26" s="1" t="s">
        <v>111</v>
      </c>
      <c r="ED26" s="1" t="s">
        <v>112</v>
      </c>
      <c r="EE26" s="1">
        <v>1</v>
      </c>
      <c r="EF26" s="1">
        <v>1</v>
      </c>
      <c r="EG26" s="1" t="s">
        <v>113</v>
      </c>
      <c r="EH26" s="1" t="s">
        <v>114</v>
      </c>
      <c r="EI26" s="1" t="s">
        <v>111</v>
      </c>
      <c r="EJ26" s="1" t="s">
        <v>114</v>
      </c>
      <c r="EK26" s="1">
        <v>6</v>
      </c>
      <c r="EL26" s="1">
        <v>4</v>
      </c>
    </row>
    <row r="27" spans="1:142" x14ac:dyDescent="0.25">
      <c r="A27" s="5">
        <v>23</v>
      </c>
      <c r="B27" s="17" t="s">
        <v>159</v>
      </c>
      <c r="C27" s="1" t="s">
        <v>163</v>
      </c>
      <c r="D27" s="35">
        <v>45366</v>
      </c>
      <c r="E27" s="1">
        <v>2</v>
      </c>
      <c r="F27" s="36"/>
      <c r="G27" s="1">
        <v>1</v>
      </c>
      <c r="H27" s="1">
        <v>59</v>
      </c>
      <c r="I27" s="1">
        <v>2</v>
      </c>
      <c r="J27" s="1">
        <v>1</v>
      </c>
      <c r="K27" s="1">
        <v>12</v>
      </c>
      <c r="L27" s="1">
        <f t="shared" si="0"/>
        <v>4</v>
      </c>
      <c r="M27" s="1" t="s">
        <v>107</v>
      </c>
      <c r="N27" s="1" t="s">
        <v>108</v>
      </c>
      <c r="O27" s="1" t="s">
        <v>109</v>
      </c>
      <c r="P27" s="1" t="s">
        <v>110</v>
      </c>
      <c r="Q27" s="1" t="s">
        <v>110</v>
      </c>
      <c r="R27" s="7">
        <v>3</v>
      </c>
      <c r="S27" s="1">
        <v>4</v>
      </c>
      <c r="T27" s="1">
        <v>0.50575999999999999</v>
      </c>
      <c r="U27" s="1"/>
      <c r="V27" s="1"/>
      <c r="W27" s="1"/>
      <c r="X27" s="1"/>
      <c r="Y27" s="1"/>
      <c r="Z27" s="3"/>
      <c r="AA27" s="3"/>
      <c r="AB27" s="3">
        <v>1</v>
      </c>
      <c r="AC27" s="3">
        <v>2</v>
      </c>
      <c r="AD27" s="3"/>
      <c r="AE27" s="3"/>
      <c r="AF27" s="1"/>
      <c r="AG27" s="1">
        <v>1</v>
      </c>
      <c r="AH27" s="1"/>
      <c r="AI27" s="1"/>
      <c r="AJ27" s="1"/>
      <c r="AK27" s="1"/>
      <c r="AL27" s="1"/>
      <c r="AM27" s="1"/>
      <c r="AN27" s="1">
        <v>25</v>
      </c>
      <c r="AO27" s="7">
        <v>3</v>
      </c>
      <c r="AP27" s="7">
        <f t="shared" si="10"/>
        <v>0.09</v>
      </c>
      <c r="AQ27" s="7">
        <f t="shared" si="1"/>
        <v>0</v>
      </c>
      <c r="AR27" s="7">
        <f t="shared" si="2"/>
        <v>0</v>
      </c>
      <c r="AS27" s="7">
        <f t="shared" si="3"/>
        <v>0</v>
      </c>
      <c r="AT27" s="7">
        <f t="shared" si="4"/>
        <v>33.333333333333329</v>
      </c>
      <c r="AU27" s="7">
        <f t="shared" si="5"/>
        <v>66.666666666666657</v>
      </c>
      <c r="AV27" s="7">
        <f t="shared" si="6"/>
        <v>0</v>
      </c>
      <c r="AW27" s="7">
        <f t="shared" si="7"/>
        <v>0</v>
      </c>
      <c r="AX27" s="7">
        <f t="shared" si="8"/>
        <v>66.666666666666657</v>
      </c>
      <c r="AY27" s="7">
        <v>0</v>
      </c>
      <c r="AZ27" s="18">
        <v>9.6666666666666661</v>
      </c>
      <c r="BA27" s="18">
        <v>29</v>
      </c>
      <c r="BB27" s="7">
        <v>0</v>
      </c>
      <c r="BC27" s="7">
        <v>37</v>
      </c>
      <c r="BD27" s="7">
        <f t="shared" si="9"/>
        <v>12.333333333333334</v>
      </c>
      <c r="BE27" s="7">
        <v>0</v>
      </c>
      <c r="BF27" s="1">
        <v>0</v>
      </c>
      <c r="BG27" s="7">
        <v>2320</v>
      </c>
      <c r="BH27" s="7">
        <v>15000</v>
      </c>
      <c r="BI27" s="7">
        <v>600</v>
      </c>
      <c r="BJ27" s="7">
        <v>12</v>
      </c>
      <c r="BK27" s="1"/>
      <c r="BL27" s="1"/>
      <c r="BM27" s="1"/>
      <c r="BN27" s="1"/>
      <c r="BO27" s="1"/>
      <c r="BP27" s="1"/>
      <c r="BQ27" s="1"/>
      <c r="BR27" s="1">
        <v>1</v>
      </c>
      <c r="BS27" s="1"/>
      <c r="BT27" s="1"/>
      <c r="BU27" s="1">
        <v>2</v>
      </c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>
        <v>2</v>
      </c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7">
        <v>2</v>
      </c>
      <c r="CV27" s="7">
        <v>2</v>
      </c>
      <c r="CW27" s="7">
        <v>0</v>
      </c>
      <c r="CX27" s="7">
        <v>8</v>
      </c>
      <c r="CY27" s="1">
        <v>2</v>
      </c>
      <c r="CZ27" s="1"/>
      <c r="DA27" s="7">
        <v>1</v>
      </c>
      <c r="DB27" s="1"/>
      <c r="DC27" s="1"/>
      <c r="DD27" s="1"/>
      <c r="DE27" s="1"/>
      <c r="DF27" s="1">
        <v>1</v>
      </c>
      <c r="DG27" s="1"/>
      <c r="DH27" s="1"/>
      <c r="DI27" s="1"/>
      <c r="DJ27" s="1">
        <v>1</v>
      </c>
      <c r="DK27" s="1"/>
      <c r="DL27" s="1"/>
      <c r="DM27" s="1">
        <v>1</v>
      </c>
      <c r="DN27" s="1"/>
      <c r="DO27" s="1"/>
      <c r="DP27" s="1"/>
      <c r="DQ27" s="1">
        <v>1</v>
      </c>
      <c r="DR27" s="1"/>
      <c r="DS27" s="1"/>
      <c r="DT27" s="7">
        <v>3</v>
      </c>
      <c r="DU27" s="7">
        <v>1</v>
      </c>
      <c r="DV27" s="7">
        <v>98500</v>
      </c>
      <c r="DW27" s="1"/>
      <c r="DX27" s="7">
        <v>600</v>
      </c>
      <c r="DY27" s="7">
        <v>1100</v>
      </c>
      <c r="DZ27" s="1"/>
      <c r="EA27" s="1"/>
      <c r="EB27" s="1"/>
      <c r="EC27" s="1" t="s">
        <v>111</v>
      </c>
      <c r="ED27" s="1" t="s">
        <v>112</v>
      </c>
      <c r="EE27" s="1">
        <v>1</v>
      </c>
      <c r="EF27" s="1">
        <v>1</v>
      </c>
      <c r="EG27" s="1" t="s">
        <v>113</v>
      </c>
      <c r="EH27" s="1" t="s">
        <v>114</v>
      </c>
      <c r="EI27" s="1" t="s">
        <v>111</v>
      </c>
      <c r="EJ27" s="1" t="s">
        <v>114</v>
      </c>
      <c r="EK27" s="1">
        <v>5</v>
      </c>
      <c r="EL27" s="1">
        <v>5</v>
      </c>
    </row>
    <row r="28" spans="1:142" x14ac:dyDescent="0.25">
      <c r="A28" s="5">
        <v>24</v>
      </c>
      <c r="B28" s="17" t="s">
        <v>164</v>
      </c>
      <c r="C28" s="1" t="s">
        <v>165</v>
      </c>
      <c r="D28" s="35">
        <v>45366</v>
      </c>
      <c r="E28" s="1">
        <v>2</v>
      </c>
      <c r="F28" s="36"/>
      <c r="G28" s="1">
        <v>1</v>
      </c>
      <c r="H28" s="1">
        <v>60</v>
      </c>
      <c r="I28" s="1">
        <v>24</v>
      </c>
      <c r="J28" s="1">
        <v>19</v>
      </c>
      <c r="K28" s="1">
        <v>10</v>
      </c>
      <c r="L28" s="1">
        <f t="shared" si="0"/>
        <v>3</v>
      </c>
      <c r="M28" s="1" t="s">
        <v>107</v>
      </c>
      <c r="N28" s="1" t="s">
        <v>120</v>
      </c>
      <c r="O28" s="1" t="s">
        <v>109</v>
      </c>
      <c r="P28" s="1" t="s">
        <v>110</v>
      </c>
      <c r="Q28" s="1" t="s">
        <v>110</v>
      </c>
      <c r="R28" s="7">
        <v>3</v>
      </c>
      <c r="S28" s="1">
        <v>5</v>
      </c>
      <c r="T28" s="1">
        <v>0</v>
      </c>
      <c r="U28" s="1"/>
      <c r="V28" s="1"/>
      <c r="W28" s="1"/>
      <c r="X28" s="1"/>
      <c r="Y28" s="1"/>
      <c r="Z28" s="3"/>
      <c r="AA28" s="3"/>
      <c r="AB28" s="3"/>
      <c r="AC28" s="3">
        <v>1</v>
      </c>
      <c r="AD28" s="3"/>
      <c r="AE28" s="3"/>
      <c r="AF28" s="1"/>
      <c r="AG28" s="1">
        <v>1</v>
      </c>
      <c r="AH28" s="1"/>
      <c r="AI28" s="1"/>
      <c r="AJ28" s="1"/>
      <c r="AK28" s="1"/>
      <c r="AL28" s="1"/>
      <c r="AM28" s="1"/>
      <c r="AN28" s="1">
        <v>8</v>
      </c>
      <c r="AO28" s="7">
        <v>1</v>
      </c>
      <c r="AP28" s="7">
        <f t="shared" si="10"/>
        <v>0.03</v>
      </c>
      <c r="AQ28" s="7">
        <f t="shared" si="1"/>
        <v>0</v>
      </c>
      <c r="AR28" s="7">
        <f t="shared" si="2"/>
        <v>0</v>
      </c>
      <c r="AS28" s="7">
        <f t="shared" si="3"/>
        <v>0</v>
      </c>
      <c r="AT28" s="7">
        <f t="shared" si="4"/>
        <v>0</v>
      </c>
      <c r="AU28" s="7">
        <f t="shared" si="5"/>
        <v>100</v>
      </c>
      <c r="AV28" s="7">
        <f t="shared" si="6"/>
        <v>0</v>
      </c>
      <c r="AW28" s="7">
        <f t="shared" si="7"/>
        <v>0</v>
      </c>
      <c r="AX28" s="7">
        <f t="shared" si="8"/>
        <v>100</v>
      </c>
      <c r="AY28" s="7">
        <v>0</v>
      </c>
      <c r="AZ28" s="18">
        <v>10</v>
      </c>
      <c r="BA28" s="18">
        <v>10</v>
      </c>
      <c r="BB28" s="7">
        <v>0</v>
      </c>
      <c r="BC28" s="7">
        <v>18</v>
      </c>
      <c r="BD28" s="7">
        <f t="shared" si="9"/>
        <v>18</v>
      </c>
      <c r="BE28" s="7">
        <v>0</v>
      </c>
      <c r="BF28" s="1">
        <v>0</v>
      </c>
      <c r="BG28" s="7">
        <v>1190</v>
      </c>
      <c r="BH28" s="7">
        <v>30000</v>
      </c>
      <c r="BI28" s="7">
        <v>200</v>
      </c>
      <c r="BJ28" s="7">
        <v>4</v>
      </c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>
        <v>1</v>
      </c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>
        <v>1</v>
      </c>
      <c r="CI28" s="1"/>
      <c r="CJ28" s="1"/>
      <c r="CK28" s="1"/>
      <c r="CL28" s="1"/>
      <c r="CM28" s="1">
        <v>1</v>
      </c>
      <c r="CN28" s="1"/>
      <c r="CO28" s="1"/>
      <c r="CP28" s="1"/>
      <c r="CQ28" s="1"/>
      <c r="CR28" s="1"/>
      <c r="CS28" s="1"/>
      <c r="CT28" s="1"/>
      <c r="CU28" s="7">
        <v>2</v>
      </c>
      <c r="CV28" s="7">
        <v>2</v>
      </c>
      <c r="CW28" s="7">
        <v>0</v>
      </c>
      <c r="CX28" s="7">
        <v>8</v>
      </c>
      <c r="CY28" s="1">
        <v>4</v>
      </c>
      <c r="CZ28" s="1"/>
      <c r="DA28" s="7">
        <v>1</v>
      </c>
      <c r="DB28" s="1"/>
      <c r="DC28" s="1">
        <v>1</v>
      </c>
      <c r="DD28" s="1"/>
      <c r="DE28" s="1"/>
      <c r="DF28" s="1">
        <v>1</v>
      </c>
      <c r="DG28" s="1"/>
      <c r="DH28" s="1"/>
      <c r="DI28" s="1"/>
      <c r="DJ28" s="1">
        <v>1</v>
      </c>
      <c r="DK28" s="1"/>
      <c r="DL28" s="1"/>
      <c r="DM28" s="1">
        <v>1</v>
      </c>
      <c r="DN28" s="1"/>
      <c r="DO28" s="1">
        <v>1</v>
      </c>
      <c r="DP28" s="1"/>
      <c r="DQ28" s="1">
        <v>1</v>
      </c>
      <c r="DR28" s="1"/>
      <c r="DS28" s="1"/>
      <c r="DT28" s="7">
        <v>3</v>
      </c>
      <c r="DU28" s="7">
        <v>2</v>
      </c>
      <c r="DV28" s="1"/>
      <c r="DW28" s="1"/>
      <c r="DX28" s="7">
        <v>200</v>
      </c>
      <c r="DY28" s="7">
        <v>600</v>
      </c>
      <c r="DZ28" s="1"/>
      <c r="EA28" s="1"/>
      <c r="EB28" s="1"/>
      <c r="EC28" s="1" t="s">
        <v>111</v>
      </c>
      <c r="ED28" s="1" t="s">
        <v>112</v>
      </c>
      <c r="EE28" s="1">
        <v>1</v>
      </c>
      <c r="EF28" s="1">
        <v>1</v>
      </c>
      <c r="EG28" s="1" t="s">
        <v>113</v>
      </c>
      <c r="EH28" s="1" t="s">
        <v>114</v>
      </c>
      <c r="EI28" s="1" t="s">
        <v>111</v>
      </c>
      <c r="EJ28" s="1" t="s">
        <v>114</v>
      </c>
      <c r="EK28" s="1">
        <v>6</v>
      </c>
      <c r="EL28" s="1">
        <v>5</v>
      </c>
    </row>
    <row r="29" spans="1:142" x14ac:dyDescent="0.25">
      <c r="A29" s="5">
        <v>25</v>
      </c>
      <c r="B29" s="17" t="s">
        <v>166</v>
      </c>
      <c r="C29" s="1" t="s">
        <v>167</v>
      </c>
      <c r="D29" s="35">
        <v>45366</v>
      </c>
      <c r="E29" s="1">
        <v>2</v>
      </c>
      <c r="F29" s="36"/>
      <c r="G29" s="1">
        <v>1</v>
      </c>
      <c r="H29" s="1">
        <v>34</v>
      </c>
      <c r="I29" s="1">
        <v>2</v>
      </c>
      <c r="J29" s="1">
        <v>7</v>
      </c>
      <c r="K29" s="1">
        <v>0</v>
      </c>
      <c r="L29" s="1">
        <f t="shared" si="0"/>
        <v>0</v>
      </c>
      <c r="M29" s="1" t="s">
        <v>107</v>
      </c>
      <c r="N29" s="1" t="s">
        <v>108</v>
      </c>
      <c r="O29" s="1" t="s">
        <v>109</v>
      </c>
      <c r="P29" s="1" t="s">
        <v>110</v>
      </c>
      <c r="Q29" s="1" t="s">
        <v>110</v>
      </c>
      <c r="R29" s="7">
        <v>2</v>
      </c>
      <c r="S29" s="1">
        <v>4</v>
      </c>
      <c r="T29" s="1">
        <v>0.25287999999999999</v>
      </c>
      <c r="U29" s="1"/>
      <c r="V29" s="1"/>
      <c r="W29" s="1"/>
      <c r="X29" s="1"/>
      <c r="Y29" s="1"/>
      <c r="Z29" s="3"/>
      <c r="AA29" s="3"/>
      <c r="AB29" s="3">
        <v>1</v>
      </c>
      <c r="AC29" s="3"/>
      <c r="AD29" s="3">
        <v>1</v>
      </c>
      <c r="AE29" s="3">
        <v>2</v>
      </c>
      <c r="AF29" s="1"/>
      <c r="AG29" s="1">
        <v>1</v>
      </c>
      <c r="AH29" s="1"/>
      <c r="AI29" s="1"/>
      <c r="AJ29" s="1"/>
      <c r="AK29" s="1"/>
      <c r="AL29" s="1"/>
      <c r="AM29" s="1"/>
      <c r="AN29" s="1">
        <v>9</v>
      </c>
      <c r="AO29" s="7">
        <v>4</v>
      </c>
      <c r="AP29" s="7">
        <f t="shared" si="10"/>
        <v>0.33000000000000007</v>
      </c>
      <c r="AQ29" s="7">
        <f t="shared" si="1"/>
        <v>0</v>
      </c>
      <c r="AR29" s="7">
        <f t="shared" si="2"/>
        <v>0</v>
      </c>
      <c r="AS29" s="7">
        <f t="shared" si="3"/>
        <v>0</v>
      </c>
      <c r="AT29" s="7">
        <f t="shared" si="4"/>
        <v>9.0909090909090882</v>
      </c>
      <c r="AU29" s="7">
        <f t="shared" si="5"/>
        <v>0</v>
      </c>
      <c r="AV29" s="7">
        <f t="shared" si="6"/>
        <v>9.0909090909090882</v>
      </c>
      <c r="AW29" s="7">
        <f t="shared" si="7"/>
        <v>18.181818181818176</v>
      </c>
      <c r="AX29" s="7">
        <f t="shared" si="8"/>
        <v>18.181818181818176</v>
      </c>
      <c r="AY29" s="7">
        <v>0.5</v>
      </c>
      <c r="AZ29" s="18">
        <v>16</v>
      </c>
      <c r="BA29" s="18">
        <v>64</v>
      </c>
      <c r="BB29" s="7">
        <v>0</v>
      </c>
      <c r="BC29" s="7">
        <v>88</v>
      </c>
      <c r="BD29" s="7">
        <f t="shared" si="9"/>
        <v>22</v>
      </c>
      <c r="BE29" s="7">
        <v>0</v>
      </c>
      <c r="BF29" s="1">
        <v>0</v>
      </c>
      <c r="BG29" s="7">
        <v>5880</v>
      </c>
      <c r="BH29" s="7">
        <v>15000</v>
      </c>
      <c r="BI29" s="7">
        <v>800</v>
      </c>
      <c r="BJ29" s="7">
        <v>16</v>
      </c>
      <c r="BK29" s="1"/>
      <c r="BL29" s="1"/>
      <c r="BM29" s="1">
        <v>1</v>
      </c>
      <c r="BN29" s="1"/>
      <c r="BO29" s="1"/>
      <c r="BP29" s="1"/>
      <c r="BQ29" s="1"/>
      <c r="BR29" s="1">
        <v>1</v>
      </c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7">
        <v>2</v>
      </c>
      <c r="CV29" s="7">
        <v>2</v>
      </c>
      <c r="CW29" s="7">
        <v>0</v>
      </c>
      <c r="CX29" s="7">
        <v>8</v>
      </c>
      <c r="CY29" s="1">
        <v>2</v>
      </c>
      <c r="CZ29" s="1"/>
      <c r="DA29" s="7">
        <v>1</v>
      </c>
      <c r="DB29" s="1"/>
      <c r="DC29" s="1">
        <v>1</v>
      </c>
      <c r="DD29" s="1"/>
      <c r="DE29" s="1"/>
      <c r="DF29" s="1">
        <v>1</v>
      </c>
      <c r="DG29" s="1"/>
      <c r="DH29" s="1"/>
      <c r="DI29" s="1"/>
      <c r="DJ29" s="1">
        <v>1</v>
      </c>
      <c r="DK29" s="1"/>
      <c r="DL29" s="1"/>
      <c r="DM29" s="1">
        <v>1</v>
      </c>
      <c r="DN29" s="1"/>
      <c r="DO29" s="1">
        <v>1</v>
      </c>
      <c r="DP29" s="1"/>
      <c r="DQ29" s="1">
        <v>1</v>
      </c>
      <c r="DR29" s="1"/>
      <c r="DS29" s="1"/>
      <c r="DT29" s="7">
        <v>3</v>
      </c>
      <c r="DU29" s="7">
        <v>3</v>
      </c>
      <c r="DV29" s="1"/>
      <c r="DW29" s="1"/>
      <c r="DX29" s="7">
        <v>800</v>
      </c>
      <c r="DY29" s="7">
        <v>1500</v>
      </c>
      <c r="DZ29" s="1"/>
      <c r="EA29" s="1"/>
      <c r="EB29" s="1"/>
      <c r="EC29" s="1" t="s">
        <v>111</v>
      </c>
      <c r="ED29" s="1" t="s">
        <v>112</v>
      </c>
      <c r="EE29" s="1">
        <v>1</v>
      </c>
      <c r="EF29" s="1">
        <v>1</v>
      </c>
      <c r="EG29" s="1" t="s">
        <v>113</v>
      </c>
      <c r="EH29" s="1" t="s">
        <v>114</v>
      </c>
      <c r="EI29" s="1" t="s">
        <v>111</v>
      </c>
      <c r="EJ29" s="1" t="s">
        <v>114</v>
      </c>
      <c r="EK29" s="1">
        <v>5</v>
      </c>
      <c r="EL29" s="1">
        <v>4</v>
      </c>
    </row>
    <row r="30" spans="1:142" x14ac:dyDescent="0.25">
      <c r="A30" s="5">
        <v>26</v>
      </c>
      <c r="B30" s="17" t="s">
        <v>168</v>
      </c>
      <c r="C30" s="1" t="s">
        <v>169</v>
      </c>
      <c r="D30" s="35">
        <v>45370</v>
      </c>
      <c r="E30" s="1">
        <v>2</v>
      </c>
      <c r="F30" s="36"/>
      <c r="G30" s="1">
        <v>1</v>
      </c>
      <c r="H30" s="1">
        <v>31</v>
      </c>
      <c r="I30" s="1">
        <v>12</v>
      </c>
      <c r="J30" s="1">
        <v>5</v>
      </c>
      <c r="K30" s="1">
        <v>0</v>
      </c>
      <c r="L30" s="1">
        <f t="shared" si="0"/>
        <v>0</v>
      </c>
      <c r="M30" s="1" t="s">
        <v>107</v>
      </c>
      <c r="N30" s="1" t="s">
        <v>120</v>
      </c>
      <c r="O30" s="1" t="s">
        <v>109</v>
      </c>
      <c r="P30" s="1" t="s">
        <v>110</v>
      </c>
      <c r="Q30" s="1" t="s">
        <v>110</v>
      </c>
      <c r="R30" s="7">
        <v>3</v>
      </c>
      <c r="S30" s="1">
        <v>3</v>
      </c>
      <c r="T30" s="1">
        <v>0.25287999999999999</v>
      </c>
      <c r="U30" s="1"/>
      <c r="V30" s="1"/>
      <c r="W30" s="1"/>
      <c r="X30" s="1"/>
      <c r="Y30" s="1"/>
      <c r="Z30" s="3"/>
      <c r="AA30" s="3"/>
      <c r="AB30" s="3">
        <v>1</v>
      </c>
      <c r="AC30" s="3"/>
      <c r="AD30" s="3"/>
      <c r="AE30" s="3">
        <v>2</v>
      </c>
      <c r="AF30" s="1"/>
      <c r="AG30" s="1">
        <v>1</v>
      </c>
      <c r="AH30" s="1"/>
      <c r="AI30" s="1"/>
      <c r="AJ30" s="1"/>
      <c r="AK30" s="1"/>
      <c r="AL30" s="1"/>
      <c r="AM30" s="1"/>
      <c r="AN30" s="1">
        <v>9</v>
      </c>
      <c r="AO30" s="7">
        <v>3</v>
      </c>
      <c r="AP30" s="7">
        <f t="shared" si="10"/>
        <v>0.23</v>
      </c>
      <c r="AQ30" s="7">
        <f t="shared" si="1"/>
        <v>0</v>
      </c>
      <c r="AR30" s="7">
        <f t="shared" si="2"/>
        <v>0</v>
      </c>
      <c r="AS30" s="7">
        <f t="shared" si="3"/>
        <v>0</v>
      </c>
      <c r="AT30" s="7">
        <f t="shared" si="4"/>
        <v>13.043478260869565</v>
      </c>
      <c r="AU30" s="7">
        <f t="shared" si="5"/>
        <v>0</v>
      </c>
      <c r="AV30" s="7">
        <f t="shared" si="6"/>
        <v>0</v>
      </c>
      <c r="AW30" s="7">
        <f t="shared" si="7"/>
        <v>26.086956521739129</v>
      </c>
      <c r="AX30" s="7">
        <f t="shared" si="8"/>
        <v>26.086956521739129</v>
      </c>
      <c r="AY30" s="7">
        <v>0.66666999999999998</v>
      </c>
      <c r="AZ30" s="18">
        <v>12.333333333333334</v>
      </c>
      <c r="BA30" s="18">
        <v>37</v>
      </c>
      <c r="BB30" s="7">
        <v>0</v>
      </c>
      <c r="BC30" s="7">
        <v>51</v>
      </c>
      <c r="BD30" s="7">
        <f t="shared" si="9"/>
        <v>17</v>
      </c>
      <c r="BE30" s="7">
        <v>0</v>
      </c>
      <c r="BF30" s="1">
        <v>0</v>
      </c>
      <c r="BG30" s="7">
        <v>3720</v>
      </c>
      <c r="BH30" s="7">
        <v>15000</v>
      </c>
      <c r="BI30" s="7">
        <v>600</v>
      </c>
      <c r="BJ30" s="7">
        <v>12</v>
      </c>
      <c r="BK30" s="1"/>
      <c r="BL30" s="1"/>
      <c r="BM30" s="1"/>
      <c r="BN30" s="1"/>
      <c r="BO30" s="1"/>
      <c r="BP30" s="1"/>
      <c r="BQ30" s="1"/>
      <c r="BR30" s="1">
        <v>1</v>
      </c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7">
        <v>2</v>
      </c>
      <c r="CV30" s="7">
        <v>2</v>
      </c>
      <c r="CW30" s="7">
        <v>0</v>
      </c>
      <c r="CX30" s="7">
        <v>8</v>
      </c>
      <c r="CY30" s="1">
        <v>2</v>
      </c>
      <c r="CZ30" s="1"/>
      <c r="DA30" s="7">
        <v>1</v>
      </c>
      <c r="DB30" s="1"/>
      <c r="DC30" s="1"/>
      <c r="DD30" s="1"/>
      <c r="DE30" s="1"/>
      <c r="DF30" s="1">
        <v>1</v>
      </c>
      <c r="DG30" s="1"/>
      <c r="DH30" s="1"/>
      <c r="DI30" s="1"/>
      <c r="DJ30" s="1">
        <v>1</v>
      </c>
      <c r="DK30" s="1"/>
      <c r="DL30" s="1"/>
      <c r="DM30" s="1">
        <v>1</v>
      </c>
      <c r="DN30" s="1"/>
      <c r="DO30" s="1"/>
      <c r="DP30" s="1"/>
      <c r="DQ30" s="1">
        <v>1</v>
      </c>
      <c r="DR30" s="1"/>
      <c r="DS30" s="1"/>
      <c r="DT30" s="7">
        <v>3</v>
      </c>
      <c r="DU30" s="7">
        <v>3</v>
      </c>
      <c r="DV30" s="1"/>
      <c r="DW30" s="1"/>
      <c r="DX30" s="7">
        <v>500</v>
      </c>
      <c r="DY30" s="7">
        <v>800</v>
      </c>
      <c r="DZ30" s="1"/>
      <c r="EA30" s="1"/>
      <c r="EB30" s="1"/>
      <c r="EC30" s="1" t="s">
        <v>111</v>
      </c>
      <c r="ED30" s="1" t="s">
        <v>112</v>
      </c>
      <c r="EE30" s="1">
        <v>1</v>
      </c>
      <c r="EF30" s="1">
        <v>1</v>
      </c>
      <c r="EG30" s="1" t="s">
        <v>113</v>
      </c>
      <c r="EH30" s="1" t="s">
        <v>114</v>
      </c>
      <c r="EI30" s="1" t="s">
        <v>111</v>
      </c>
      <c r="EJ30" s="1" t="s">
        <v>114</v>
      </c>
      <c r="EK30" s="1">
        <v>5</v>
      </c>
      <c r="EL30" s="1">
        <v>5</v>
      </c>
    </row>
    <row r="31" spans="1:142" x14ac:dyDescent="0.25">
      <c r="A31" s="5">
        <v>27</v>
      </c>
      <c r="B31" s="17" t="s">
        <v>170</v>
      </c>
      <c r="C31" s="1" t="s">
        <v>171</v>
      </c>
      <c r="D31" s="35">
        <v>45370</v>
      </c>
      <c r="E31" s="1">
        <v>2</v>
      </c>
      <c r="F31" s="36"/>
      <c r="G31" s="1">
        <v>1</v>
      </c>
      <c r="H31" s="1">
        <v>43</v>
      </c>
      <c r="I31" s="1">
        <v>17</v>
      </c>
      <c r="J31" s="1">
        <v>10</v>
      </c>
      <c r="K31" s="1">
        <v>0</v>
      </c>
      <c r="L31" s="1">
        <f t="shared" si="0"/>
        <v>0</v>
      </c>
      <c r="M31" s="1" t="s">
        <v>107</v>
      </c>
      <c r="N31" s="1" t="s">
        <v>120</v>
      </c>
      <c r="O31" s="1" t="s">
        <v>109</v>
      </c>
      <c r="P31" s="1" t="s">
        <v>110</v>
      </c>
      <c r="Q31" s="1" t="s">
        <v>110</v>
      </c>
      <c r="R31" s="7">
        <v>2</v>
      </c>
      <c r="S31" s="1">
        <v>5</v>
      </c>
      <c r="T31" s="1">
        <v>0.25287999999999999</v>
      </c>
      <c r="U31" s="1"/>
      <c r="V31" s="1"/>
      <c r="W31" s="1"/>
      <c r="X31" s="1"/>
      <c r="Y31" s="1"/>
      <c r="Z31" s="3"/>
      <c r="AA31" s="3"/>
      <c r="AB31" s="3"/>
      <c r="AC31" s="3"/>
      <c r="AD31" s="3"/>
      <c r="AE31" s="3">
        <v>2</v>
      </c>
      <c r="AF31" s="1"/>
      <c r="AG31" s="1"/>
      <c r="AH31" s="1"/>
      <c r="AI31" s="1"/>
      <c r="AJ31" s="1"/>
      <c r="AK31" s="1"/>
      <c r="AL31" s="1"/>
      <c r="AM31" s="1"/>
      <c r="AN31" s="1">
        <v>10</v>
      </c>
      <c r="AO31" s="7">
        <v>2</v>
      </c>
      <c r="AP31" s="7">
        <f t="shared" si="10"/>
        <v>0.2</v>
      </c>
      <c r="AQ31" s="7">
        <f t="shared" si="1"/>
        <v>0</v>
      </c>
      <c r="AR31" s="7">
        <f t="shared" si="2"/>
        <v>0</v>
      </c>
      <c r="AS31" s="7">
        <f t="shared" si="3"/>
        <v>0</v>
      </c>
      <c r="AT31" s="7">
        <f t="shared" si="4"/>
        <v>0</v>
      </c>
      <c r="AU31" s="7">
        <f t="shared" si="5"/>
        <v>0</v>
      </c>
      <c r="AV31" s="7">
        <f t="shared" si="6"/>
        <v>0</v>
      </c>
      <c r="AW31" s="7">
        <f t="shared" si="7"/>
        <v>30</v>
      </c>
      <c r="AX31" s="7">
        <f t="shared" si="8"/>
        <v>30</v>
      </c>
      <c r="AY31" s="7">
        <v>1</v>
      </c>
      <c r="AZ31" s="18">
        <v>14</v>
      </c>
      <c r="BA31" s="18">
        <v>28</v>
      </c>
      <c r="BB31" s="7">
        <v>0</v>
      </c>
      <c r="BC31" s="7">
        <v>37</v>
      </c>
      <c r="BD31" s="7">
        <f t="shared" si="9"/>
        <v>18.5</v>
      </c>
      <c r="BE31" s="7">
        <v>0</v>
      </c>
      <c r="BF31" s="1">
        <v>0</v>
      </c>
      <c r="BG31" s="7">
        <v>2840</v>
      </c>
      <c r="BH31" s="7">
        <v>30000</v>
      </c>
      <c r="BI31" s="7">
        <v>500</v>
      </c>
      <c r="BJ31" s="7">
        <v>10</v>
      </c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7">
        <v>2</v>
      </c>
      <c r="CV31" s="7">
        <v>2</v>
      </c>
      <c r="CW31" s="7">
        <v>0</v>
      </c>
      <c r="CX31" s="7">
        <v>8</v>
      </c>
      <c r="CY31" s="1">
        <v>4</v>
      </c>
      <c r="CZ31" s="1"/>
      <c r="DA31" s="7">
        <v>1</v>
      </c>
      <c r="DB31" s="1"/>
      <c r="DC31" s="1"/>
      <c r="DD31" s="1"/>
      <c r="DE31" s="1"/>
      <c r="DF31" s="1">
        <v>1</v>
      </c>
      <c r="DG31" s="1"/>
      <c r="DH31" s="1"/>
      <c r="DI31" s="1"/>
      <c r="DJ31" s="1">
        <v>1</v>
      </c>
      <c r="DK31" s="1"/>
      <c r="DL31" s="1"/>
      <c r="DM31" s="1">
        <v>1</v>
      </c>
      <c r="DN31" s="1"/>
      <c r="DO31" s="1"/>
      <c r="DP31" s="1"/>
      <c r="DQ31" s="1">
        <v>1</v>
      </c>
      <c r="DR31" s="1"/>
      <c r="DS31" s="1"/>
      <c r="DT31" s="7">
        <v>3</v>
      </c>
      <c r="DU31" s="7">
        <v>3</v>
      </c>
      <c r="DV31" s="1"/>
      <c r="DW31" s="1"/>
      <c r="DX31" s="7">
        <v>400</v>
      </c>
      <c r="DY31" s="7">
        <v>600</v>
      </c>
      <c r="DZ31" s="1"/>
      <c r="EA31" s="1"/>
      <c r="EB31" s="1"/>
      <c r="EC31" s="1" t="s">
        <v>111</v>
      </c>
      <c r="ED31" s="1" t="s">
        <v>112</v>
      </c>
      <c r="EE31" s="1">
        <v>1</v>
      </c>
      <c r="EF31" s="1">
        <v>1</v>
      </c>
      <c r="EG31" s="1" t="s">
        <v>113</v>
      </c>
      <c r="EH31" s="1" t="s">
        <v>114</v>
      </c>
      <c r="EI31" s="1" t="s">
        <v>111</v>
      </c>
      <c r="EJ31" s="1" t="s">
        <v>114</v>
      </c>
      <c r="EK31" s="1">
        <v>5</v>
      </c>
      <c r="EL31" s="1">
        <v>4</v>
      </c>
    </row>
    <row r="32" spans="1:142" x14ac:dyDescent="0.25">
      <c r="A32" s="5">
        <v>28</v>
      </c>
      <c r="B32" s="17" t="s">
        <v>172</v>
      </c>
      <c r="C32" s="1" t="s">
        <v>173</v>
      </c>
      <c r="D32" s="35">
        <v>45370</v>
      </c>
      <c r="E32" s="1">
        <v>2</v>
      </c>
      <c r="F32" s="36"/>
      <c r="G32" s="1">
        <v>1</v>
      </c>
      <c r="H32" s="1">
        <v>32</v>
      </c>
      <c r="I32" s="1">
        <v>0</v>
      </c>
      <c r="J32" s="1">
        <v>1</v>
      </c>
      <c r="K32" s="1">
        <v>13</v>
      </c>
      <c r="L32" s="1">
        <f t="shared" si="0"/>
        <v>5</v>
      </c>
      <c r="M32" s="1" t="s">
        <v>107</v>
      </c>
      <c r="N32" s="1" t="s">
        <v>174</v>
      </c>
      <c r="O32" s="1" t="s">
        <v>117</v>
      </c>
      <c r="P32" s="1" t="s">
        <v>110</v>
      </c>
      <c r="Q32" s="1" t="s">
        <v>110</v>
      </c>
      <c r="R32" s="7">
        <v>3</v>
      </c>
      <c r="S32" s="1">
        <v>3</v>
      </c>
      <c r="T32" s="1">
        <v>0.25287999999999999</v>
      </c>
      <c r="U32" s="1"/>
      <c r="V32" s="1"/>
      <c r="W32" s="1"/>
      <c r="X32" s="1"/>
      <c r="Y32" s="1"/>
      <c r="Z32" s="3"/>
      <c r="AA32" s="3"/>
      <c r="AB32" s="3"/>
      <c r="AC32" s="3"/>
      <c r="AD32" s="3">
        <v>1</v>
      </c>
      <c r="AE32" s="3"/>
      <c r="AF32" s="1"/>
      <c r="AG32" s="1"/>
      <c r="AH32" s="1"/>
      <c r="AI32" s="1"/>
      <c r="AJ32" s="1"/>
      <c r="AK32" s="1"/>
      <c r="AL32" s="1"/>
      <c r="AM32" s="1"/>
      <c r="AN32" s="1">
        <v>10</v>
      </c>
      <c r="AO32" s="7">
        <v>1</v>
      </c>
      <c r="AP32" s="7">
        <f t="shared" si="10"/>
        <v>0.1</v>
      </c>
      <c r="AQ32" s="7">
        <f t="shared" si="1"/>
        <v>0</v>
      </c>
      <c r="AR32" s="7">
        <f t="shared" si="2"/>
        <v>0</v>
      </c>
      <c r="AS32" s="7">
        <f t="shared" si="3"/>
        <v>0</v>
      </c>
      <c r="AT32" s="7">
        <f t="shared" si="4"/>
        <v>0</v>
      </c>
      <c r="AU32" s="7">
        <f t="shared" si="5"/>
        <v>0</v>
      </c>
      <c r="AV32" s="7">
        <f t="shared" si="6"/>
        <v>30</v>
      </c>
      <c r="AW32" s="7">
        <f t="shared" si="7"/>
        <v>0</v>
      </c>
      <c r="AX32" s="7">
        <f t="shared" si="8"/>
        <v>0</v>
      </c>
      <c r="AY32" s="7">
        <v>0</v>
      </c>
      <c r="AZ32" s="18">
        <v>30</v>
      </c>
      <c r="BA32" s="18">
        <v>30</v>
      </c>
      <c r="BB32" s="7">
        <v>0</v>
      </c>
      <c r="BC32" s="7">
        <v>34</v>
      </c>
      <c r="BD32" s="7">
        <f t="shared" si="9"/>
        <v>34</v>
      </c>
      <c r="BE32" s="7">
        <v>0</v>
      </c>
      <c r="BF32" s="1">
        <v>0</v>
      </c>
      <c r="BG32" s="7">
        <v>2250</v>
      </c>
      <c r="BH32" s="7">
        <v>30000</v>
      </c>
      <c r="BI32" s="7">
        <v>200</v>
      </c>
      <c r="BJ32" s="7">
        <v>4</v>
      </c>
      <c r="BK32" s="1"/>
      <c r="BL32" s="1"/>
      <c r="BM32" s="1">
        <v>1</v>
      </c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>
        <v>1</v>
      </c>
      <c r="CI32" s="1"/>
      <c r="CJ32" s="1"/>
      <c r="CK32" s="1"/>
      <c r="CL32" s="1"/>
      <c r="CM32" s="1">
        <v>1</v>
      </c>
      <c r="CN32" s="1"/>
      <c r="CO32" s="1"/>
      <c r="CP32" s="1"/>
      <c r="CQ32" s="1"/>
      <c r="CR32" s="1"/>
      <c r="CS32" s="1"/>
      <c r="CT32" s="1"/>
      <c r="CU32" s="7">
        <v>2</v>
      </c>
      <c r="CV32" s="7">
        <v>2</v>
      </c>
      <c r="CW32" s="7">
        <v>0</v>
      </c>
      <c r="CX32" s="7">
        <v>8</v>
      </c>
      <c r="CY32" s="1">
        <v>4</v>
      </c>
      <c r="CZ32" s="1"/>
      <c r="DA32" s="7">
        <v>1</v>
      </c>
      <c r="DB32" s="1"/>
      <c r="DC32" s="1"/>
      <c r="DD32" s="1"/>
      <c r="DE32" s="1"/>
      <c r="DF32" s="1">
        <v>1</v>
      </c>
      <c r="DG32" s="1"/>
      <c r="DH32" s="1"/>
      <c r="DI32" s="1"/>
      <c r="DJ32" s="1">
        <v>1</v>
      </c>
      <c r="DK32" s="1"/>
      <c r="DL32" s="1"/>
      <c r="DM32" s="1">
        <v>1</v>
      </c>
      <c r="DN32" s="1"/>
      <c r="DO32" s="1"/>
      <c r="DP32" s="1"/>
      <c r="DQ32" s="1">
        <v>1</v>
      </c>
      <c r="DR32" s="1"/>
      <c r="DS32" s="1"/>
      <c r="DT32" s="7">
        <v>3</v>
      </c>
      <c r="DU32" s="7">
        <v>2</v>
      </c>
      <c r="DV32" s="1"/>
      <c r="DW32" s="1"/>
      <c r="DX32" s="7">
        <v>400</v>
      </c>
      <c r="DY32" s="7">
        <v>700</v>
      </c>
      <c r="DZ32" s="1"/>
      <c r="EA32" s="1"/>
      <c r="EB32" s="1"/>
      <c r="EC32" s="1" t="s">
        <v>111</v>
      </c>
      <c r="ED32" s="1" t="s">
        <v>112</v>
      </c>
      <c r="EE32" s="1">
        <v>1</v>
      </c>
      <c r="EF32" s="1">
        <v>1</v>
      </c>
      <c r="EG32" s="1" t="s">
        <v>113</v>
      </c>
      <c r="EH32" s="1" t="s">
        <v>114</v>
      </c>
      <c r="EI32" s="1" t="s">
        <v>111</v>
      </c>
      <c r="EJ32" s="1" t="s">
        <v>114</v>
      </c>
      <c r="EK32" s="1">
        <v>6</v>
      </c>
      <c r="EL32" s="1">
        <v>5</v>
      </c>
    </row>
    <row r="33" spans="1:142" x14ac:dyDescent="0.25">
      <c r="A33" s="5">
        <v>29</v>
      </c>
      <c r="B33" s="17" t="s">
        <v>175</v>
      </c>
      <c r="C33" s="1" t="s">
        <v>176</v>
      </c>
      <c r="D33" s="35">
        <v>45370</v>
      </c>
      <c r="E33" s="1">
        <v>2</v>
      </c>
      <c r="F33" s="36">
        <v>1</v>
      </c>
      <c r="G33" s="1">
        <v>1</v>
      </c>
      <c r="H33" s="1">
        <v>26</v>
      </c>
      <c r="I33" s="1">
        <v>0</v>
      </c>
      <c r="J33" s="1">
        <v>1</v>
      </c>
      <c r="K33" s="1">
        <v>13</v>
      </c>
      <c r="L33" s="1">
        <f t="shared" si="0"/>
        <v>5</v>
      </c>
      <c r="M33" s="1" t="s">
        <v>107</v>
      </c>
      <c r="N33" s="1" t="s">
        <v>177</v>
      </c>
      <c r="O33" s="1" t="s">
        <v>117</v>
      </c>
      <c r="P33" s="1" t="s">
        <v>110</v>
      </c>
      <c r="Q33" s="1" t="s">
        <v>110</v>
      </c>
      <c r="R33" s="7">
        <v>3</v>
      </c>
      <c r="S33" s="1">
        <v>3</v>
      </c>
      <c r="T33" s="1">
        <v>0</v>
      </c>
      <c r="U33" s="1"/>
      <c r="V33" s="1"/>
      <c r="W33" s="1"/>
      <c r="X33" s="1"/>
      <c r="Y33" s="1"/>
      <c r="Z33" s="3">
        <v>1</v>
      </c>
      <c r="AA33" s="3"/>
      <c r="AB33" s="3"/>
      <c r="AC33" s="3"/>
      <c r="AD33" s="3">
        <v>1</v>
      </c>
      <c r="AE33" s="3">
        <v>2</v>
      </c>
      <c r="AF33" s="1"/>
      <c r="AG33" s="1"/>
      <c r="AH33" s="1"/>
      <c r="AI33" s="1"/>
      <c r="AJ33" s="1"/>
      <c r="AK33" s="1"/>
      <c r="AL33" s="1"/>
      <c r="AM33" s="1"/>
      <c r="AN33" s="1">
        <v>9</v>
      </c>
      <c r="AO33" s="7">
        <v>4</v>
      </c>
      <c r="AP33" s="7">
        <f t="shared" si="10"/>
        <v>0.33000000000000007</v>
      </c>
      <c r="AQ33" s="7">
        <f t="shared" si="1"/>
        <v>9.0909090909090882</v>
      </c>
      <c r="AR33" s="7">
        <f t="shared" si="2"/>
        <v>0.25</v>
      </c>
      <c r="AS33" s="7">
        <f t="shared" si="3"/>
        <v>0</v>
      </c>
      <c r="AT33" s="7">
        <f t="shared" si="4"/>
        <v>0</v>
      </c>
      <c r="AU33" s="7">
        <f t="shared" si="5"/>
        <v>0</v>
      </c>
      <c r="AV33" s="7">
        <f t="shared" si="6"/>
        <v>9.0909090909090882</v>
      </c>
      <c r="AW33" s="7">
        <f t="shared" si="7"/>
        <v>18.181818181818176</v>
      </c>
      <c r="AX33" s="7">
        <f t="shared" si="8"/>
        <v>18.181818181818176</v>
      </c>
      <c r="AY33" s="7">
        <v>0.75</v>
      </c>
      <c r="AZ33" s="18">
        <v>12</v>
      </c>
      <c r="BA33" s="18">
        <v>48</v>
      </c>
      <c r="BB33" s="7">
        <v>0</v>
      </c>
      <c r="BC33" s="7">
        <v>71</v>
      </c>
      <c r="BD33" s="7">
        <f t="shared" si="9"/>
        <v>17.75</v>
      </c>
      <c r="BE33" s="7">
        <v>1</v>
      </c>
      <c r="BF33" s="1">
        <v>200</v>
      </c>
      <c r="BG33" s="7">
        <v>4980</v>
      </c>
      <c r="BH33" s="7">
        <v>15000</v>
      </c>
      <c r="BI33" s="7">
        <v>800</v>
      </c>
      <c r="BJ33" s="7">
        <v>16</v>
      </c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7">
        <v>2</v>
      </c>
      <c r="CV33" s="7">
        <v>2</v>
      </c>
      <c r="CW33" s="7">
        <v>0</v>
      </c>
      <c r="CX33" s="7">
        <v>8</v>
      </c>
      <c r="CY33" s="1">
        <v>2</v>
      </c>
      <c r="CZ33" s="1"/>
      <c r="DA33" s="7">
        <v>1</v>
      </c>
      <c r="DB33" s="1"/>
      <c r="DC33" s="1"/>
      <c r="DD33" s="1"/>
      <c r="DE33" s="1"/>
      <c r="DF33" s="1">
        <v>1</v>
      </c>
      <c r="DG33" s="1"/>
      <c r="DH33" s="1"/>
      <c r="DI33" s="1"/>
      <c r="DJ33" s="1">
        <v>1</v>
      </c>
      <c r="DK33" s="1"/>
      <c r="DL33" s="1"/>
      <c r="DM33" s="1">
        <v>1</v>
      </c>
      <c r="DN33" s="1"/>
      <c r="DO33" s="1"/>
      <c r="DP33" s="1"/>
      <c r="DQ33" s="1">
        <v>1</v>
      </c>
      <c r="DR33" s="1"/>
      <c r="DS33" s="1"/>
      <c r="DT33" s="7">
        <v>3</v>
      </c>
      <c r="DU33" s="7">
        <v>2</v>
      </c>
      <c r="DV33" s="1"/>
      <c r="DW33" s="1"/>
      <c r="DX33" s="7">
        <v>600</v>
      </c>
      <c r="DY33" s="7">
        <v>1100</v>
      </c>
      <c r="DZ33" s="1"/>
      <c r="EA33" s="1"/>
      <c r="EB33" s="1"/>
      <c r="EC33" s="1" t="s">
        <v>111</v>
      </c>
      <c r="ED33" s="1" t="s">
        <v>112</v>
      </c>
      <c r="EE33" s="1">
        <v>1</v>
      </c>
      <c r="EF33" s="1">
        <v>1</v>
      </c>
      <c r="EG33" s="1" t="s">
        <v>113</v>
      </c>
      <c r="EH33" s="1" t="s">
        <v>114</v>
      </c>
      <c r="EI33" s="1" t="s">
        <v>111</v>
      </c>
      <c r="EJ33" s="1" t="s">
        <v>114</v>
      </c>
      <c r="EK33" s="1">
        <v>6</v>
      </c>
      <c r="EL33" s="1">
        <v>5</v>
      </c>
    </row>
    <row r="34" spans="1:142" x14ac:dyDescent="0.25">
      <c r="A34" s="5">
        <v>30</v>
      </c>
      <c r="B34" s="17" t="s">
        <v>178</v>
      </c>
      <c r="C34" s="1" t="s">
        <v>179</v>
      </c>
      <c r="D34" s="35">
        <v>45370</v>
      </c>
      <c r="E34" s="1">
        <v>2</v>
      </c>
      <c r="F34" s="36">
        <v>1</v>
      </c>
      <c r="G34" s="1">
        <v>1</v>
      </c>
      <c r="H34" s="1">
        <v>35</v>
      </c>
      <c r="I34" s="1">
        <v>10</v>
      </c>
      <c r="J34" s="1">
        <v>10</v>
      </c>
      <c r="K34" s="1">
        <v>12</v>
      </c>
      <c r="L34" s="1">
        <f t="shared" si="0"/>
        <v>4</v>
      </c>
      <c r="M34" s="1" t="s">
        <v>107</v>
      </c>
      <c r="N34" s="1" t="s">
        <v>120</v>
      </c>
      <c r="O34" s="1" t="s">
        <v>109</v>
      </c>
      <c r="P34" s="1" t="s">
        <v>110</v>
      </c>
      <c r="Q34" s="1" t="s">
        <v>110</v>
      </c>
      <c r="R34" s="7">
        <v>3</v>
      </c>
      <c r="S34" s="1">
        <v>3</v>
      </c>
      <c r="T34" s="1">
        <v>0</v>
      </c>
      <c r="U34" s="1"/>
      <c r="V34" s="1"/>
      <c r="W34" s="1"/>
      <c r="X34" s="1"/>
      <c r="Y34" s="1"/>
      <c r="Z34" s="3">
        <v>1</v>
      </c>
      <c r="AA34" s="3">
        <v>1</v>
      </c>
      <c r="AB34" s="3">
        <v>2</v>
      </c>
      <c r="AC34" s="3"/>
      <c r="AD34" s="3">
        <v>1</v>
      </c>
      <c r="AE34" s="3">
        <v>2</v>
      </c>
      <c r="AF34" s="1"/>
      <c r="AG34" s="1"/>
      <c r="AH34" s="1"/>
      <c r="AI34" s="1"/>
      <c r="AJ34" s="1"/>
      <c r="AK34" s="1"/>
      <c r="AL34" s="1"/>
      <c r="AM34" s="1"/>
      <c r="AN34" s="1">
        <v>10</v>
      </c>
      <c r="AO34" s="7">
        <v>7</v>
      </c>
      <c r="AP34" s="7">
        <f t="shared" si="10"/>
        <v>0.42000000000000004</v>
      </c>
      <c r="AQ34" s="7">
        <f t="shared" si="1"/>
        <v>14.285714285714285</v>
      </c>
      <c r="AR34" s="7">
        <f t="shared" si="2"/>
        <v>0.14285714285714285</v>
      </c>
      <c r="AS34" s="7">
        <f t="shared" si="3"/>
        <v>0.14285714285714285</v>
      </c>
      <c r="AT34" s="7">
        <f t="shared" si="4"/>
        <v>14.285714285714285</v>
      </c>
      <c r="AU34" s="7">
        <f t="shared" si="5"/>
        <v>0</v>
      </c>
      <c r="AV34" s="7">
        <f t="shared" si="6"/>
        <v>7.1428571428571423</v>
      </c>
      <c r="AW34" s="7">
        <f t="shared" si="7"/>
        <v>14.285714285714285</v>
      </c>
      <c r="AX34" s="7">
        <f t="shared" si="8"/>
        <v>21.428571428571423</v>
      </c>
      <c r="AY34" s="7">
        <v>0.42849999999999999</v>
      </c>
      <c r="AZ34" s="18">
        <v>9.4285714285714288</v>
      </c>
      <c r="BA34" s="18">
        <v>66</v>
      </c>
      <c r="BB34" s="7">
        <v>1</v>
      </c>
      <c r="BC34" s="7">
        <v>108</v>
      </c>
      <c r="BD34" s="7">
        <f t="shared" si="9"/>
        <v>15.428571428571429</v>
      </c>
      <c r="BE34" s="7">
        <v>2</v>
      </c>
      <c r="BF34" s="1">
        <v>250</v>
      </c>
      <c r="BG34" s="7">
        <v>6510</v>
      </c>
      <c r="BH34" s="7">
        <v>15000</v>
      </c>
      <c r="BI34" s="7">
        <v>1500</v>
      </c>
      <c r="BJ34" s="7">
        <v>30</v>
      </c>
      <c r="BK34" s="1"/>
      <c r="BL34" s="1"/>
      <c r="BM34" s="1"/>
      <c r="BN34" s="1"/>
      <c r="BO34" s="1"/>
      <c r="BP34" s="1"/>
      <c r="BQ34" s="1">
        <v>1</v>
      </c>
      <c r="BR34" s="1">
        <v>2</v>
      </c>
      <c r="BS34" s="1"/>
      <c r="BT34" s="1">
        <v>1</v>
      </c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7">
        <v>2</v>
      </c>
      <c r="CV34" s="7">
        <v>2</v>
      </c>
      <c r="CW34" s="7">
        <v>0</v>
      </c>
      <c r="CX34" s="7">
        <v>8</v>
      </c>
      <c r="CY34" s="1">
        <v>2</v>
      </c>
      <c r="CZ34" s="1"/>
      <c r="DA34" s="7">
        <v>1</v>
      </c>
      <c r="DB34" s="1"/>
      <c r="DC34" s="1">
        <v>1</v>
      </c>
      <c r="DD34" s="1"/>
      <c r="DE34" s="1"/>
      <c r="DF34" s="1">
        <v>1</v>
      </c>
      <c r="DG34" s="1"/>
      <c r="DH34" s="1"/>
      <c r="DI34" s="1"/>
      <c r="DJ34" s="1">
        <v>1</v>
      </c>
      <c r="DK34" s="1"/>
      <c r="DL34" s="1"/>
      <c r="DM34" s="1">
        <v>1</v>
      </c>
      <c r="DN34" s="1"/>
      <c r="DO34" s="1">
        <v>1</v>
      </c>
      <c r="DP34" s="1"/>
      <c r="DQ34" s="1">
        <v>1</v>
      </c>
      <c r="DR34" s="1"/>
      <c r="DS34" s="1"/>
      <c r="DT34" s="7">
        <v>3</v>
      </c>
      <c r="DU34" s="7">
        <v>2</v>
      </c>
      <c r="DV34" s="1"/>
      <c r="DW34" s="1"/>
      <c r="DX34" s="7">
        <v>1200</v>
      </c>
      <c r="DY34" s="7">
        <v>1800</v>
      </c>
      <c r="DZ34" s="1"/>
      <c r="EA34" s="1"/>
      <c r="EB34" s="1"/>
      <c r="EC34" s="1" t="s">
        <v>111</v>
      </c>
      <c r="ED34" s="1" t="s">
        <v>112</v>
      </c>
      <c r="EE34" s="1">
        <v>1</v>
      </c>
      <c r="EF34" s="1">
        <v>1</v>
      </c>
      <c r="EG34" s="1" t="s">
        <v>113</v>
      </c>
      <c r="EH34" s="1" t="s">
        <v>114</v>
      </c>
      <c r="EI34" s="1" t="s">
        <v>111</v>
      </c>
      <c r="EJ34" s="1" t="s">
        <v>114</v>
      </c>
      <c r="EK34" s="1">
        <v>5</v>
      </c>
      <c r="EL34" s="1">
        <v>4</v>
      </c>
    </row>
    <row r="35" spans="1:142" x14ac:dyDescent="0.25">
      <c r="A35" s="5">
        <v>31</v>
      </c>
      <c r="B35" s="17" t="s">
        <v>159</v>
      </c>
      <c r="C35" s="1" t="s">
        <v>180</v>
      </c>
      <c r="D35" s="35">
        <v>45370</v>
      </c>
      <c r="E35" s="1">
        <v>2</v>
      </c>
      <c r="F35" s="36"/>
      <c r="G35" s="1">
        <v>1</v>
      </c>
      <c r="H35" s="1">
        <v>36</v>
      </c>
      <c r="I35" s="1">
        <v>10</v>
      </c>
      <c r="J35" s="1">
        <v>6</v>
      </c>
      <c r="K35" s="1">
        <v>12</v>
      </c>
      <c r="L35" s="1">
        <f t="shared" si="0"/>
        <v>4</v>
      </c>
      <c r="M35" s="1" t="s">
        <v>107</v>
      </c>
      <c r="N35" s="1" t="s">
        <v>120</v>
      </c>
      <c r="O35" s="1" t="s">
        <v>109</v>
      </c>
      <c r="P35" s="1" t="s">
        <v>110</v>
      </c>
      <c r="Q35" s="1" t="s">
        <v>110</v>
      </c>
      <c r="R35" s="7">
        <v>2</v>
      </c>
      <c r="S35" s="1">
        <v>5</v>
      </c>
      <c r="T35" s="1">
        <v>0</v>
      </c>
      <c r="U35" s="1"/>
      <c r="V35" s="1"/>
      <c r="W35" s="1"/>
      <c r="X35" s="1"/>
      <c r="Y35" s="1"/>
      <c r="Z35" s="3"/>
      <c r="AA35" s="3"/>
      <c r="AB35" s="3"/>
      <c r="AC35" s="3"/>
      <c r="AD35" s="3"/>
      <c r="AE35" s="3">
        <v>2</v>
      </c>
      <c r="AF35" s="1"/>
      <c r="AG35" s="1">
        <v>1</v>
      </c>
      <c r="AH35" s="1"/>
      <c r="AI35" s="1"/>
      <c r="AJ35" s="1"/>
      <c r="AK35" s="1"/>
      <c r="AL35" s="1"/>
      <c r="AM35" s="1"/>
      <c r="AN35" s="1">
        <v>9</v>
      </c>
      <c r="AO35" s="7">
        <v>2</v>
      </c>
      <c r="AP35" s="7">
        <f t="shared" si="10"/>
        <v>0.2</v>
      </c>
      <c r="AQ35" s="7">
        <f t="shared" si="1"/>
        <v>0</v>
      </c>
      <c r="AR35" s="7">
        <f t="shared" si="2"/>
        <v>0</v>
      </c>
      <c r="AS35" s="7">
        <f t="shared" si="3"/>
        <v>0</v>
      </c>
      <c r="AT35" s="7">
        <f t="shared" si="4"/>
        <v>0</v>
      </c>
      <c r="AU35" s="7">
        <f t="shared" si="5"/>
        <v>0</v>
      </c>
      <c r="AV35" s="7">
        <f t="shared" si="6"/>
        <v>0</v>
      </c>
      <c r="AW35" s="7">
        <f t="shared" si="7"/>
        <v>30</v>
      </c>
      <c r="AX35" s="7">
        <f t="shared" si="8"/>
        <v>30</v>
      </c>
      <c r="AY35" s="7">
        <v>1</v>
      </c>
      <c r="AZ35" s="18">
        <v>14</v>
      </c>
      <c r="BA35" s="18">
        <v>28</v>
      </c>
      <c r="BB35" s="7">
        <v>0</v>
      </c>
      <c r="BC35" s="7">
        <v>38</v>
      </c>
      <c r="BD35" s="7">
        <f t="shared" si="9"/>
        <v>19</v>
      </c>
      <c r="BE35" s="7">
        <v>2</v>
      </c>
      <c r="BF35" s="1">
        <v>225</v>
      </c>
      <c r="BG35" s="7">
        <v>2940</v>
      </c>
      <c r="BH35" s="7">
        <v>30000</v>
      </c>
      <c r="BI35" s="7">
        <v>400</v>
      </c>
      <c r="BJ35" s="7">
        <v>8</v>
      </c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>
        <v>1</v>
      </c>
      <c r="BX35" s="1"/>
      <c r="BY35" s="1"/>
      <c r="BZ35" s="1"/>
      <c r="CA35" s="1"/>
      <c r="CB35" s="1"/>
      <c r="CC35" s="1"/>
      <c r="CD35" s="1"/>
      <c r="CE35" s="1">
        <v>1</v>
      </c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7">
        <v>2</v>
      </c>
      <c r="CV35" s="7">
        <v>2</v>
      </c>
      <c r="CW35" s="7">
        <v>0</v>
      </c>
      <c r="CX35" s="7">
        <v>8</v>
      </c>
      <c r="CY35" s="1">
        <v>4</v>
      </c>
      <c r="CZ35" s="1"/>
      <c r="DA35" s="7">
        <v>1</v>
      </c>
      <c r="DB35" s="1"/>
      <c r="DC35" s="1">
        <v>1</v>
      </c>
      <c r="DD35" s="1"/>
      <c r="DE35" s="1"/>
      <c r="DF35" s="1">
        <v>1</v>
      </c>
      <c r="DG35" s="1"/>
      <c r="DH35" s="1"/>
      <c r="DI35" s="1"/>
      <c r="DJ35" s="1">
        <v>1</v>
      </c>
      <c r="DK35" s="1"/>
      <c r="DL35" s="1"/>
      <c r="DM35" s="1">
        <v>1</v>
      </c>
      <c r="DN35" s="1"/>
      <c r="DO35" s="1">
        <v>1</v>
      </c>
      <c r="DP35" s="1"/>
      <c r="DQ35" s="1">
        <v>1</v>
      </c>
      <c r="DR35" s="1"/>
      <c r="DS35" s="1"/>
      <c r="DT35" s="7">
        <v>3</v>
      </c>
      <c r="DU35" s="7">
        <v>3</v>
      </c>
      <c r="DV35" s="1"/>
      <c r="DW35" s="1"/>
      <c r="DX35" s="7">
        <v>400</v>
      </c>
      <c r="DY35" s="7">
        <v>800</v>
      </c>
      <c r="DZ35" s="1"/>
      <c r="EA35" s="1"/>
      <c r="EB35" s="1"/>
      <c r="EC35" s="1" t="s">
        <v>111</v>
      </c>
      <c r="ED35" s="1" t="s">
        <v>112</v>
      </c>
      <c r="EE35" s="1">
        <v>1</v>
      </c>
      <c r="EF35" s="1">
        <v>1</v>
      </c>
      <c r="EG35" s="1" t="s">
        <v>113</v>
      </c>
      <c r="EH35" s="1" t="s">
        <v>114</v>
      </c>
      <c r="EI35" s="1" t="s">
        <v>111</v>
      </c>
      <c r="EJ35" s="1" t="s">
        <v>114</v>
      </c>
      <c r="EK35" s="1">
        <v>6</v>
      </c>
      <c r="EL35" s="1">
        <v>5</v>
      </c>
    </row>
    <row r="36" spans="1:142" x14ac:dyDescent="0.25">
      <c r="A36" s="5">
        <v>32</v>
      </c>
      <c r="B36" s="17" t="s">
        <v>181</v>
      </c>
      <c r="C36" s="1" t="s">
        <v>182</v>
      </c>
      <c r="D36" s="35">
        <v>45370</v>
      </c>
      <c r="E36" s="1">
        <v>9</v>
      </c>
      <c r="F36" s="36">
        <v>2</v>
      </c>
      <c r="G36" s="1">
        <v>1</v>
      </c>
      <c r="H36" s="1">
        <v>38</v>
      </c>
      <c r="I36" s="1">
        <v>8</v>
      </c>
      <c r="J36" s="1">
        <v>1</v>
      </c>
      <c r="K36" s="1">
        <v>5</v>
      </c>
      <c r="L36" s="1">
        <f t="shared" si="0"/>
        <v>1</v>
      </c>
      <c r="M36" s="1" t="s">
        <v>107</v>
      </c>
      <c r="N36" s="1" t="s">
        <v>120</v>
      </c>
      <c r="O36" s="1" t="s">
        <v>144</v>
      </c>
      <c r="P36" s="1" t="s">
        <v>110</v>
      </c>
      <c r="Q36" s="1" t="s">
        <v>110</v>
      </c>
      <c r="R36" s="7">
        <v>3</v>
      </c>
      <c r="S36" s="1">
        <v>4</v>
      </c>
      <c r="T36" s="1">
        <v>0</v>
      </c>
      <c r="U36" s="1"/>
      <c r="V36" s="1"/>
      <c r="W36" s="1"/>
      <c r="X36" s="1"/>
      <c r="Y36" s="1"/>
      <c r="Z36" s="3">
        <v>2</v>
      </c>
      <c r="AA36" s="3">
        <v>3</v>
      </c>
      <c r="AB36" s="3"/>
      <c r="AC36" s="3"/>
      <c r="AD36" s="3">
        <v>2</v>
      </c>
      <c r="AE36" s="3">
        <v>9</v>
      </c>
      <c r="AF36" s="1"/>
      <c r="AG36" s="1">
        <v>1</v>
      </c>
      <c r="AH36" s="1"/>
      <c r="AI36" s="1"/>
      <c r="AJ36" s="1"/>
      <c r="AK36" s="1"/>
      <c r="AL36" s="1">
        <v>1</v>
      </c>
      <c r="AM36" s="1">
        <v>8</v>
      </c>
      <c r="AN36" s="1">
        <v>10</v>
      </c>
      <c r="AO36" s="7">
        <v>16</v>
      </c>
      <c r="AP36" s="7">
        <f t="shared" si="10"/>
        <v>1.25</v>
      </c>
      <c r="AQ36" s="7">
        <f t="shared" si="1"/>
        <v>12</v>
      </c>
      <c r="AR36" s="7">
        <f t="shared" si="2"/>
        <v>0.125</v>
      </c>
      <c r="AS36" s="7">
        <f t="shared" si="3"/>
        <v>0.1875</v>
      </c>
      <c r="AT36" s="7">
        <f t="shared" si="4"/>
        <v>0</v>
      </c>
      <c r="AU36" s="7">
        <f t="shared" si="5"/>
        <v>0</v>
      </c>
      <c r="AV36" s="7">
        <f t="shared" si="6"/>
        <v>4.8</v>
      </c>
      <c r="AW36" s="7">
        <f t="shared" si="7"/>
        <v>21.6</v>
      </c>
      <c r="AX36" s="7">
        <f t="shared" si="8"/>
        <v>28.799999999999997</v>
      </c>
      <c r="AY36" s="7">
        <v>0.6875</v>
      </c>
      <c r="AZ36" s="18">
        <v>10.625</v>
      </c>
      <c r="BA36" s="18">
        <v>170</v>
      </c>
      <c r="BB36" s="7">
        <v>0.55555555599999995</v>
      </c>
      <c r="BC36" s="7">
        <v>257</v>
      </c>
      <c r="BD36" s="7">
        <f t="shared" si="9"/>
        <v>16.0625</v>
      </c>
      <c r="BE36" s="7">
        <v>2</v>
      </c>
      <c r="BF36" s="1">
        <v>250</v>
      </c>
      <c r="BG36" s="7">
        <v>17310</v>
      </c>
      <c r="BH36" s="7">
        <v>30000</v>
      </c>
      <c r="BI36" s="7">
        <v>3400</v>
      </c>
      <c r="BJ36" s="7">
        <v>68</v>
      </c>
      <c r="BK36" s="1"/>
      <c r="BL36" s="1"/>
      <c r="BM36" s="1"/>
      <c r="BN36" s="1"/>
      <c r="BO36" s="1"/>
      <c r="BP36" s="1"/>
      <c r="BQ36" s="1">
        <v>3</v>
      </c>
      <c r="BR36" s="1"/>
      <c r="BS36" s="1"/>
      <c r="BT36" s="1">
        <v>2</v>
      </c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7">
        <v>2</v>
      </c>
      <c r="CV36" s="7">
        <v>2</v>
      </c>
      <c r="CW36" s="7">
        <v>0</v>
      </c>
      <c r="CX36" s="7">
        <v>8</v>
      </c>
      <c r="CY36" s="1">
        <v>4</v>
      </c>
      <c r="CZ36" s="1"/>
      <c r="DA36" s="7">
        <v>1</v>
      </c>
      <c r="DB36" s="1"/>
      <c r="DC36" s="1">
        <v>1</v>
      </c>
      <c r="DD36" s="1"/>
      <c r="DE36" s="1"/>
      <c r="DF36" s="1">
        <v>1</v>
      </c>
      <c r="DG36" s="1"/>
      <c r="DH36" s="1"/>
      <c r="DI36" s="1"/>
      <c r="DJ36" s="1">
        <v>1</v>
      </c>
      <c r="DK36" s="1"/>
      <c r="DL36" s="1"/>
      <c r="DM36" s="1">
        <v>1</v>
      </c>
      <c r="DN36" s="1"/>
      <c r="DO36" s="1">
        <v>1</v>
      </c>
      <c r="DP36" s="1"/>
      <c r="DQ36" s="1">
        <v>1</v>
      </c>
      <c r="DR36" s="1"/>
      <c r="DS36" s="1"/>
      <c r="DT36" s="7">
        <v>3</v>
      </c>
      <c r="DU36" s="7">
        <v>1</v>
      </c>
      <c r="DV36" s="7">
        <v>115500</v>
      </c>
      <c r="DW36" s="1"/>
      <c r="DX36" s="7">
        <v>2400</v>
      </c>
      <c r="DY36" s="7">
        <v>2700</v>
      </c>
      <c r="DZ36" s="1"/>
      <c r="EA36" s="1"/>
      <c r="EB36" s="1"/>
      <c r="EC36" s="1" t="s">
        <v>111</v>
      </c>
      <c r="ED36" s="1" t="s">
        <v>112</v>
      </c>
      <c r="EE36" s="1">
        <v>1</v>
      </c>
      <c r="EF36" s="1">
        <v>1</v>
      </c>
      <c r="EG36" s="1" t="s">
        <v>113</v>
      </c>
      <c r="EH36" s="1" t="s">
        <v>114</v>
      </c>
      <c r="EI36" s="1" t="s">
        <v>111</v>
      </c>
      <c r="EJ36" s="1" t="s">
        <v>114</v>
      </c>
      <c r="EK36" s="1">
        <v>6</v>
      </c>
      <c r="EL36" s="1">
        <v>5</v>
      </c>
    </row>
    <row r="37" spans="1:142" x14ac:dyDescent="0.25">
      <c r="A37" s="5">
        <v>33</v>
      </c>
      <c r="B37" s="17" t="s">
        <v>183</v>
      </c>
      <c r="C37" s="1" t="s">
        <v>184</v>
      </c>
      <c r="D37" s="35">
        <v>45370</v>
      </c>
      <c r="E37" s="1">
        <v>2</v>
      </c>
      <c r="F37" s="36"/>
      <c r="G37" s="1">
        <v>1</v>
      </c>
      <c r="H37" s="1">
        <v>37</v>
      </c>
      <c r="I37" s="1">
        <v>10</v>
      </c>
      <c r="J37" s="1">
        <v>2</v>
      </c>
      <c r="K37" s="1">
        <v>12</v>
      </c>
      <c r="L37" s="1">
        <f t="shared" si="0"/>
        <v>4</v>
      </c>
      <c r="M37" s="1" t="s">
        <v>107</v>
      </c>
      <c r="N37" s="1" t="s">
        <v>120</v>
      </c>
      <c r="O37" s="1" t="s">
        <v>144</v>
      </c>
      <c r="P37" s="1" t="s">
        <v>110</v>
      </c>
      <c r="Q37" s="1" t="s">
        <v>110</v>
      </c>
      <c r="R37" s="7">
        <v>2</v>
      </c>
      <c r="S37" s="1">
        <v>2</v>
      </c>
      <c r="T37" s="1">
        <v>0</v>
      </c>
      <c r="U37" s="1"/>
      <c r="V37" s="1"/>
      <c r="W37" s="1"/>
      <c r="X37" s="1"/>
      <c r="Y37" s="1"/>
      <c r="Z37" s="3"/>
      <c r="AA37" s="3">
        <v>1</v>
      </c>
      <c r="AB37" s="3">
        <v>1</v>
      </c>
      <c r="AC37" s="3"/>
      <c r="AD37" s="3"/>
      <c r="AE37" s="3">
        <v>2</v>
      </c>
      <c r="AF37" s="1"/>
      <c r="AG37" s="1">
        <v>1</v>
      </c>
      <c r="AH37" s="1"/>
      <c r="AI37" s="1"/>
      <c r="AJ37" s="1"/>
      <c r="AK37" s="1"/>
      <c r="AL37" s="1"/>
      <c r="AM37" s="1"/>
      <c r="AN37" s="1">
        <v>10</v>
      </c>
      <c r="AO37" s="7">
        <v>4</v>
      </c>
      <c r="AP37" s="7">
        <f t="shared" si="10"/>
        <v>0.26</v>
      </c>
      <c r="AQ37" s="7">
        <f t="shared" si="1"/>
        <v>11.538461538461538</v>
      </c>
      <c r="AR37" s="7">
        <f t="shared" si="2"/>
        <v>0</v>
      </c>
      <c r="AS37" s="7">
        <f t="shared" si="3"/>
        <v>0.25</v>
      </c>
      <c r="AT37" s="7">
        <f t="shared" si="4"/>
        <v>11.538461538461538</v>
      </c>
      <c r="AU37" s="7">
        <f t="shared" si="5"/>
        <v>0</v>
      </c>
      <c r="AV37" s="7">
        <f t="shared" si="6"/>
        <v>0</v>
      </c>
      <c r="AW37" s="7">
        <f t="shared" si="7"/>
        <v>23.076923076923077</v>
      </c>
      <c r="AX37" s="7">
        <f t="shared" si="8"/>
        <v>34.615384615384613</v>
      </c>
      <c r="AY37" s="7">
        <v>0.5</v>
      </c>
      <c r="AZ37" s="18">
        <v>11</v>
      </c>
      <c r="BA37" s="18">
        <v>44</v>
      </c>
      <c r="BB37" s="7">
        <v>0.5</v>
      </c>
      <c r="BC37" s="7">
        <v>62</v>
      </c>
      <c r="BD37" s="7">
        <f t="shared" si="9"/>
        <v>15.5</v>
      </c>
      <c r="BE37" s="7">
        <v>0</v>
      </c>
      <c r="BF37" s="1">
        <v>0</v>
      </c>
      <c r="BG37" s="7">
        <v>4110</v>
      </c>
      <c r="BH37" s="7">
        <v>30000</v>
      </c>
      <c r="BI37" s="7">
        <v>800</v>
      </c>
      <c r="BJ37" s="7">
        <v>16</v>
      </c>
      <c r="BK37" s="1"/>
      <c r="BL37" s="1"/>
      <c r="BM37" s="1"/>
      <c r="BN37" s="1"/>
      <c r="BO37" s="1"/>
      <c r="BP37" s="1"/>
      <c r="BQ37" s="1"/>
      <c r="BR37" s="1">
        <v>1</v>
      </c>
      <c r="BS37" s="1"/>
      <c r="BT37" s="1">
        <v>1</v>
      </c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7">
        <v>2</v>
      </c>
      <c r="CV37" s="7">
        <v>2</v>
      </c>
      <c r="CW37" s="7">
        <v>0</v>
      </c>
      <c r="CX37" s="7">
        <v>8</v>
      </c>
      <c r="CY37" s="1">
        <v>4</v>
      </c>
      <c r="CZ37" s="1"/>
      <c r="DA37" s="7">
        <v>1</v>
      </c>
      <c r="DB37" s="1"/>
      <c r="DC37" s="1"/>
      <c r="DD37" s="1"/>
      <c r="DE37" s="1"/>
      <c r="DF37" s="1">
        <v>1</v>
      </c>
      <c r="DG37" s="1"/>
      <c r="DH37" s="1"/>
      <c r="DI37" s="1"/>
      <c r="DJ37" s="1">
        <v>1</v>
      </c>
      <c r="DK37" s="1"/>
      <c r="DL37" s="1"/>
      <c r="DM37" s="1">
        <v>1</v>
      </c>
      <c r="DN37" s="1"/>
      <c r="DO37" s="1"/>
      <c r="DP37" s="1"/>
      <c r="DQ37" s="1">
        <v>1</v>
      </c>
      <c r="DR37" s="1"/>
      <c r="DS37" s="1"/>
      <c r="DT37" s="7">
        <v>3</v>
      </c>
      <c r="DU37" s="7">
        <v>2</v>
      </c>
      <c r="DV37" s="1"/>
      <c r="DW37" s="1"/>
      <c r="DX37" s="7">
        <v>600</v>
      </c>
      <c r="DY37" s="7">
        <v>700</v>
      </c>
      <c r="DZ37" s="1"/>
      <c r="EA37" s="1"/>
      <c r="EB37" s="1"/>
      <c r="EC37" s="1" t="s">
        <v>111</v>
      </c>
      <c r="ED37" s="1" t="s">
        <v>112</v>
      </c>
      <c r="EE37" s="1">
        <v>1</v>
      </c>
      <c r="EF37" s="1">
        <v>1</v>
      </c>
      <c r="EG37" s="1" t="s">
        <v>113</v>
      </c>
      <c r="EH37" s="1" t="s">
        <v>114</v>
      </c>
      <c r="EI37" s="1" t="s">
        <v>111</v>
      </c>
      <c r="EJ37" s="1" t="s">
        <v>114</v>
      </c>
      <c r="EK37" s="1">
        <v>5</v>
      </c>
      <c r="EL37" s="1">
        <v>5</v>
      </c>
    </row>
    <row r="38" spans="1:142" x14ac:dyDescent="0.25">
      <c r="A38" s="5">
        <v>34</v>
      </c>
      <c r="B38" s="17" t="s">
        <v>185</v>
      </c>
      <c r="C38" s="1" t="s">
        <v>186</v>
      </c>
      <c r="D38" s="35">
        <v>45370</v>
      </c>
      <c r="E38" s="1">
        <v>2</v>
      </c>
      <c r="F38" s="36"/>
      <c r="G38" s="1">
        <v>1</v>
      </c>
      <c r="H38" s="1">
        <v>52</v>
      </c>
      <c r="I38" s="1">
        <v>0</v>
      </c>
      <c r="J38" s="1">
        <v>2</v>
      </c>
      <c r="K38" s="1">
        <v>10</v>
      </c>
      <c r="L38" s="1">
        <f t="shared" si="0"/>
        <v>3</v>
      </c>
      <c r="M38" s="1" t="s">
        <v>107</v>
      </c>
      <c r="N38" s="1" t="s">
        <v>109</v>
      </c>
      <c r="O38" s="1" t="s">
        <v>117</v>
      </c>
      <c r="P38" s="1" t="s">
        <v>110</v>
      </c>
      <c r="Q38" s="1" t="s">
        <v>110</v>
      </c>
      <c r="R38" s="7">
        <v>2</v>
      </c>
      <c r="S38" s="1">
        <v>4</v>
      </c>
      <c r="T38" s="1">
        <v>0.50575999999999999</v>
      </c>
      <c r="U38" s="1"/>
      <c r="V38" s="1"/>
      <c r="W38" s="1"/>
      <c r="X38" s="1"/>
      <c r="Y38" s="1"/>
      <c r="Z38" s="3"/>
      <c r="AA38" s="3"/>
      <c r="AB38" s="3"/>
      <c r="AC38" s="3"/>
      <c r="AD38" s="3"/>
      <c r="AE38" s="3">
        <v>2</v>
      </c>
      <c r="AF38" s="1"/>
      <c r="AG38" s="1"/>
      <c r="AH38" s="1"/>
      <c r="AI38" s="1"/>
      <c r="AJ38" s="1"/>
      <c r="AK38" s="1"/>
      <c r="AL38" s="1"/>
      <c r="AM38" s="1"/>
      <c r="AN38" s="1">
        <v>9</v>
      </c>
      <c r="AO38" s="7">
        <v>2</v>
      </c>
      <c r="AP38" s="7">
        <f t="shared" si="10"/>
        <v>0.2</v>
      </c>
      <c r="AQ38" s="7">
        <f t="shared" si="1"/>
        <v>0</v>
      </c>
      <c r="AR38" s="7">
        <f t="shared" si="2"/>
        <v>0</v>
      </c>
      <c r="AS38" s="7">
        <f t="shared" si="3"/>
        <v>0</v>
      </c>
      <c r="AT38" s="7">
        <f t="shared" si="4"/>
        <v>0</v>
      </c>
      <c r="AU38" s="7">
        <f t="shared" si="5"/>
        <v>0</v>
      </c>
      <c r="AV38" s="7">
        <f t="shared" si="6"/>
        <v>0</v>
      </c>
      <c r="AW38" s="7">
        <f t="shared" si="7"/>
        <v>30</v>
      </c>
      <c r="AX38" s="7">
        <f t="shared" si="8"/>
        <v>30</v>
      </c>
      <c r="AY38" s="7">
        <v>1</v>
      </c>
      <c r="AZ38" s="18">
        <v>14</v>
      </c>
      <c r="BA38" s="18">
        <v>28</v>
      </c>
      <c r="BB38" s="7">
        <v>0</v>
      </c>
      <c r="BC38" s="7">
        <v>40</v>
      </c>
      <c r="BD38" s="7">
        <f t="shared" si="9"/>
        <v>20</v>
      </c>
      <c r="BE38" s="7">
        <v>0</v>
      </c>
      <c r="BF38" s="1">
        <v>0</v>
      </c>
      <c r="BG38" s="7">
        <v>2790</v>
      </c>
      <c r="BH38" s="7">
        <v>30000</v>
      </c>
      <c r="BI38" s="7">
        <v>400</v>
      </c>
      <c r="BJ38" s="7">
        <v>8</v>
      </c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7">
        <v>2</v>
      </c>
      <c r="CV38" s="7">
        <v>2</v>
      </c>
      <c r="CW38" s="7">
        <v>0</v>
      </c>
      <c r="CX38" s="7">
        <v>8</v>
      </c>
      <c r="CY38" s="1">
        <v>4</v>
      </c>
      <c r="CZ38" s="1"/>
      <c r="DA38" s="7">
        <v>1</v>
      </c>
      <c r="DB38" s="1"/>
      <c r="DC38" s="1">
        <v>1</v>
      </c>
      <c r="DD38" s="1"/>
      <c r="DE38" s="1"/>
      <c r="DF38" s="1">
        <v>1</v>
      </c>
      <c r="DG38" s="1"/>
      <c r="DH38" s="1"/>
      <c r="DI38" s="1"/>
      <c r="DJ38" s="1">
        <v>1</v>
      </c>
      <c r="DK38" s="1"/>
      <c r="DL38" s="1"/>
      <c r="DM38" s="1">
        <v>1</v>
      </c>
      <c r="DN38" s="1"/>
      <c r="DO38" s="1">
        <v>1</v>
      </c>
      <c r="DP38" s="1"/>
      <c r="DQ38" s="1">
        <v>1</v>
      </c>
      <c r="DR38" s="1"/>
      <c r="DS38" s="1"/>
      <c r="DT38" s="7">
        <v>3</v>
      </c>
      <c r="DU38" s="7">
        <v>2</v>
      </c>
      <c r="DV38" s="1"/>
      <c r="DW38" s="1"/>
      <c r="DX38" s="7">
        <v>400</v>
      </c>
      <c r="DY38" s="7">
        <v>1000</v>
      </c>
      <c r="DZ38" s="1"/>
      <c r="EA38" s="1"/>
      <c r="EB38" s="1"/>
      <c r="EC38" s="1" t="s">
        <v>111</v>
      </c>
      <c r="ED38" s="1" t="s">
        <v>112</v>
      </c>
      <c r="EE38" s="1">
        <v>1</v>
      </c>
      <c r="EF38" s="1">
        <v>1</v>
      </c>
      <c r="EG38" s="1" t="s">
        <v>113</v>
      </c>
      <c r="EH38" s="1" t="s">
        <v>114</v>
      </c>
      <c r="EI38" s="1" t="s">
        <v>111</v>
      </c>
      <c r="EJ38" s="1" t="s">
        <v>114</v>
      </c>
      <c r="EK38" s="1">
        <v>6</v>
      </c>
      <c r="EL38" s="1">
        <v>4</v>
      </c>
    </row>
    <row r="39" spans="1:142" x14ac:dyDescent="0.25">
      <c r="A39" s="5">
        <v>35</v>
      </c>
      <c r="B39" s="17" t="s">
        <v>187</v>
      </c>
      <c r="C39" s="1" t="s">
        <v>188</v>
      </c>
      <c r="D39" s="35">
        <v>45370</v>
      </c>
      <c r="E39" s="1">
        <v>5</v>
      </c>
      <c r="F39" s="36"/>
      <c r="G39" s="1">
        <v>1</v>
      </c>
      <c r="H39" s="1">
        <v>28</v>
      </c>
      <c r="I39" s="1">
        <v>0</v>
      </c>
      <c r="J39" s="1">
        <v>3</v>
      </c>
      <c r="K39" s="1">
        <v>12</v>
      </c>
      <c r="L39" s="1">
        <f t="shared" si="0"/>
        <v>4</v>
      </c>
      <c r="M39" s="1" t="s">
        <v>107</v>
      </c>
      <c r="N39" s="1" t="s">
        <v>109</v>
      </c>
      <c r="O39" s="1" t="s">
        <v>117</v>
      </c>
      <c r="P39" s="1" t="s">
        <v>110</v>
      </c>
      <c r="Q39" s="1" t="s">
        <v>110</v>
      </c>
      <c r="R39" s="7">
        <v>2</v>
      </c>
      <c r="S39" s="1">
        <v>5</v>
      </c>
      <c r="T39" s="1">
        <v>0</v>
      </c>
      <c r="U39" s="1">
        <v>1</v>
      </c>
      <c r="V39" s="1">
        <v>1</v>
      </c>
      <c r="W39" s="1"/>
      <c r="X39" s="1"/>
      <c r="Y39" s="1"/>
      <c r="Z39" s="3">
        <v>1</v>
      </c>
      <c r="AA39" s="3">
        <v>1</v>
      </c>
      <c r="AB39" s="3"/>
      <c r="AC39" s="3"/>
      <c r="AD39" s="3">
        <v>1</v>
      </c>
      <c r="AE39" s="3">
        <v>7</v>
      </c>
      <c r="AF39" s="1"/>
      <c r="AG39" s="1">
        <v>1</v>
      </c>
      <c r="AH39" s="1"/>
      <c r="AI39" s="1"/>
      <c r="AJ39" s="1"/>
      <c r="AK39" s="1"/>
      <c r="AL39" s="1"/>
      <c r="AM39" s="1"/>
      <c r="AN39" s="1">
        <v>9</v>
      </c>
      <c r="AO39" s="7">
        <v>10</v>
      </c>
      <c r="AP39" s="7">
        <f t="shared" si="10"/>
        <v>0.8600000000000001</v>
      </c>
      <c r="AQ39" s="7">
        <f t="shared" si="1"/>
        <v>6.9767441860465098</v>
      </c>
      <c r="AR39" s="7">
        <f t="shared" si="2"/>
        <v>0.1</v>
      </c>
      <c r="AS39" s="7">
        <f t="shared" si="3"/>
        <v>0.1</v>
      </c>
      <c r="AT39" s="7">
        <f t="shared" si="4"/>
        <v>0</v>
      </c>
      <c r="AU39" s="7">
        <f t="shared" si="5"/>
        <v>0</v>
      </c>
      <c r="AV39" s="7">
        <f t="shared" si="6"/>
        <v>3.4883720930232549</v>
      </c>
      <c r="AW39" s="7">
        <f t="shared" si="7"/>
        <v>24.418604651162788</v>
      </c>
      <c r="AX39" s="7">
        <f t="shared" si="8"/>
        <v>27.906976744186039</v>
      </c>
      <c r="AY39" s="7">
        <v>0.5</v>
      </c>
      <c r="AZ39" s="18">
        <v>15.8</v>
      </c>
      <c r="BA39" s="18">
        <v>158</v>
      </c>
      <c r="BB39" s="7">
        <v>0.111111111</v>
      </c>
      <c r="BC39" s="7">
        <v>213</v>
      </c>
      <c r="BD39" s="7">
        <f t="shared" si="9"/>
        <v>21.3</v>
      </c>
      <c r="BE39" s="7">
        <v>2</v>
      </c>
      <c r="BF39" s="1">
        <v>525</v>
      </c>
      <c r="BG39" s="7">
        <v>13620</v>
      </c>
      <c r="BH39" s="7">
        <v>30000</v>
      </c>
      <c r="BI39" s="7">
        <v>2000</v>
      </c>
      <c r="BJ39" s="7">
        <v>40</v>
      </c>
      <c r="BK39" s="1"/>
      <c r="BL39" s="1"/>
      <c r="BM39" s="1">
        <v>1</v>
      </c>
      <c r="BN39" s="1"/>
      <c r="BO39" s="1"/>
      <c r="BP39" s="1">
        <v>2</v>
      </c>
      <c r="BQ39" s="1">
        <v>1</v>
      </c>
      <c r="BR39" s="1"/>
      <c r="BS39" s="1"/>
      <c r="BT39" s="1"/>
      <c r="BU39" s="1">
        <v>1</v>
      </c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7">
        <v>2</v>
      </c>
      <c r="CV39" s="7">
        <v>2</v>
      </c>
      <c r="CW39" s="7">
        <v>0</v>
      </c>
      <c r="CX39" s="7">
        <v>8</v>
      </c>
      <c r="CY39" s="1">
        <v>4</v>
      </c>
      <c r="CZ39" s="1"/>
      <c r="DA39" s="7">
        <v>1</v>
      </c>
      <c r="DB39" s="1"/>
      <c r="DC39" s="1">
        <v>1</v>
      </c>
      <c r="DD39" s="1"/>
      <c r="DE39" s="1"/>
      <c r="DF39" s="1">
        <v>1</v>
      </c>
      <c r="DG39" s="1"/>
      <c r="DH39" s="1"/>
      <c r="DI39" s="1"/>
      <c r="DJ39" s="1">
        <v>1</v>
      </c>
      <c r="DK39" s="1"/>
      <c r="DL39" s="1"/>
      <c r="DM39" s="1">
        <v>1</v>
      </c>
      <c r="DN39" s="1"/>
      <c r="DO39" s="1">
        <v>1</v>
      </c>
      <c r="DP39" s="1"/>
      <c r="DQ39" s="1">
        <v>1</v>
      </c>
      <c r="DR39" s="1"/>
      <c r="DS39" s="1"/>
      <c r="DT39" s="7">
        <v>3</v>
      </c>
      <c r="DU39" s="7">
        <v>2</v>
      </c>
      <c r="DV39" s="1"/>
      <c r="DW39" s="1"/>
      <c r="DX39" s="7">
        <v>1500</v>
      </c>
      <c r="DY39" s="7">
        <v>2300</v>
      </c>
      <c r="DZ39" s="1"/>
      <c r="EA39" s="1"/>
      <c r="EB39" s="1"/>
      <c r="EC39" s="1" t="s">
        <v>111</v>
      </c>
      <c r="ED39" s="1" t="s">
        <v>112</v>
      </c>
      <c r="EE39" s="1">
        <v>1</v>
      </c>
      <c r="EF39" s="1">
        <v>1</v>
      </c>
      <c r="EG39" s="1" t="s">
        <v>113</v>
      </c>
      <c r="EH39" s="1" t="s">
        <v>114</v>
      </c>
      <c r="EI39" s="1" t="s">
        <v>111</v>
      </c>
      <c r="EJ39" s="1" t="s">
        <v>114</v>
      </c>
      <c r="EK39" s="1">
        <v>6</v>
      </c>
      <c r="EL39" s="1">
        <v>5</v>
      </c>
    </row>
    <row r="40" spans="1:142" x14ac:dyDescent="0.25">
      <c r="A40" s="5">
        <v>36</v>
      </c>
      <c r="B40" s="17" t="s">
        <v>189</v>
      </c>
      <c r="C40" s="1" t="s">
        <v>190</v>
      </c>
      <c r="D40" s="35">
        <v>45470</v>
      </c>
      <c r="E40" s="1">
        <v>2</v>
      </c>
      <c r="F40" s="36"/>
      <c r="G40" s="1">
        <v>1</v>
      </c>
      <c r="H40" s="1">
        <v>55</v>
      </c>
      <c r="I40" s="1">
        <v>30</v>
      </c>
      <c r="J40" s="1">
        <v>12</v>
      </c>
      <c r="K40" s="1">
        <v>0</v>
      </c>
      <c r="L40" s="1">
        <f t="shared" si="0"/>
        <v>0</v>
      </c>
      <c r="M40" s="1" t="s">
        <v>107</v>
      </c>
      <c r="N40" s="1" t="s">
        <v>120</v>
      </c>
      <c r="O40" s="1" t="s">
        <v>109</v>
      </c>
      <c r="P40" s="1" t="s">
        <v>110</v>
      </c>
      <c r="Q40" s="1" t="s">
        <v>110</v>
      </c>
      <c r="R40" s="7">
        <v>3</v>
      </c>
      <c r="S40" s="1">
        <v>3</v>
      </c>
      <c r="T40" s="1">
        <v>0</v>
      </c>
      <c r="U40" s="1">
        <v>2</v>
      </c>
      <c r="V40" s="1">
        <v>1</v>
      </c>
      <c r="W40" s="1"/>
      <c r="X40" s="1"/>
      <c r="Y40" s="1"/>
      <c r="Z40" s="3"/>
      <c r="AA40" s="3">
        <v>1</v>
      </c>
      <c r="AB40" s="3"/>
      <c r="AC40" s="3">
        <v>2</v>
      </c>
      <c r="AD40" s="3">
        <v>2</v>
      </c>
      <c r="AE40" s="3"/>
      <c r="AF40" s="1">
        <v>1</v>
      </c>
      <c r="AG40" s="1">
        <v>1</v>
      </c>
      <c r="AH40" s="1"/>
      <c r="AI40" s="1"/>
      <c r="AJ40" s="1"/>
      <c r="AK40" s="1"/>
      <c r="AL40" s="1"/>
      <c r="AM40" s="1">
        <v>3</v>
      </c>
      <c r="AN40" s="1">
        <v>10</v>
      </c>
      <c r="AO40" s="7">
        <v>5</v>
      </c>
      <c r="AP40" s="7">
        <f t="shared" si="10"/>
        <v>0.29000000000000004</v>
      </c>
      <c r="AQ40" s="7">
        <f t="shared" si="1"/>
        <v>10.344827586206895</v>
      </c>
      <c r="AR40" s="7">
        <f t="shared" si="2"/>
        <v>0</v>
      </c>
      <c r="AS40" s="7">
        <f t="shared" si="3"/>
        <v>0.2</v>
      </c>
      <c r="AT40" s="7">
        <f t="shared" si="4"/>
        <v>0</v>
      </c>
      <c r="AU40" s="7">
        <f t="shared" si="5"/>
        <v>20.68965517241379</v>
      </c>
      <c r="AV40" s="7">
        <f t="shared" si="6"/>
        <v>20.68965517241379</v>
      </c>
      <c r="AW40" s="7">
        <f t="shared" si="7"/>
        <v>0</v>
      </c>
      <c r="AX40" s="7">
        <f t="shared" si="8"/>
        <v>31.034482758620683</v>
      </c>
      <c r="AY40" s="7">
        <v>0.4</v>
      </c>
      <c r="AZ40" s="18">
        <v>19.2</v>
      </c>
      <c r="BA40" s="18">
        <v>96</v>
      </c>
      <c r="BB40" s="7">
        <v>0</v>
      </c>
      <c r="BC40" s="7">
        <v>126</v>
      </c>
      <c r="BD40" s="7">
        <f t="shared" si="9"/>
        <v>25.2</v>
      </c>
      <c r="BE40" s="7">
        <v>0</v>
      </c>
      <c r="BF40" s="1">
        <v>0</v>
      </c>
      <c r="BG40" s="7">
        <v>8530</v>
      </c>
      <c r="BH40" s="7">
        <v>15000</v>
      </c>
      <c r="BI40" s="7">
        <v>1000</v>
      </c>
      <c r="BJ40" s="7">
        <v>20</v>
      </c>
      <c r="BK40" s="1"/>
      <c r="BL40" s="1"/>
      <c r="BM40" s="1">
        <v>2</v>
      </c>
      <c r="BN40" s="1"/>
      <c r="BO40" s="1"/>
      <c r="BP40" s="1"/>
      <c r="BQ40" s="1"/>
      <c r="BR40" s="1"/>
      <c r="BS40" s="1"/>
      <c r="BT40" s="1">
        <v>1</v>
      </c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7">
        <v>2</v>
      </c>
      <c r="CV40" s="7">
        <v>2</v>
      </c>
      <c r="CW40" s="7">
        <v>0</v>
      </c>
      <c r="CX40" s="7">
        <v>8</v>
      </c>
      <c r="CY40" s="1">
        <v>2</v>
      </c>
      <c r="CZ40" s="1"/>
      <c r="DA40" s="7">
        <v>1</v>
      </c>
      <c r="DB40" s="1"/>
      <c r="DC40" s="1"/>
      <c r="DD40" s="1"/>
      <c r="DE40" s="1"/>
      <c r="DF40" s="1">
        <v>1</v>
      </c>
      <c r="DG40" s="1"/>
      <c r="DH40" s="1"/>
      <c r="DI40" s="1"/>
      <c r="DJ40" s="1">
        <v>1</v>
      </c>
      <c r="DK40" s="1"/>
      <c r="DL40" s="1"/>
      <c r="DM40" s="1">
        <v>1</v>
      </c>
      <c r="DN40" s="1"/>
      <c r="DO40" s="1"/>
      <c r="DP40" s="1"/>
      <c r="DQ40" s="1">
        <v>1</v>
      </c>
      <c r="DR40" s="1"/>
      <c r="DS40" s="1"/>
      <c r="DT40" s="7">
        <v>3</v>
      </c>
      <c r="DU40" s="7">
        <v>1</v>
      </c>
      <c r="DV40" s="7">
        <v>94300</v>
      </c>
      <c r="DW40" s="1"/>
      <c r="DX40" s="7">
        <v>900</v>
      </c>
      <c r="DY40" s="7">
        <v>700</v>
      </c>
      <c r="DZ40" s="1"/>
      <c r="EA40" s="1"/>
      <c r="EB40" s="1"/>
      <c r="EC40" s="1" t="s">
        <v>111</v>
      </c>
      <c r="ED40" s="1" t="s">
        <v>112</v>
      </c>
      <c r="EE40" s="1">
        <v>1</v>
      </c>
      <c r="EF40" s="1">
        <v>1</v>
      </c>
      <c r="EG40" s="1" t="s">
        <v>113</v>
      </c>
      <c r="EH40" s="1" t="s">
        <v>114</v>
      </c>
      <c r="EI40" s="1" t="s">
        <v>111</v>
      </c>
      <c r="EJ40" s="1" t="s">
        <v>114</v>
      </c>
      <c r="EK40" s="1">
        <v>5</v>
      </c>
      <c r="EL40" s="1">
        <v>5</v>
      </c>
    </row>
    <row r="41" spans="1:142" x14ac:dyDescent="0.25">
      <c r="A41" s="5">
        <v>37</v>
      </c>
      <c r="B41" s="17" t="s">
        <v>191</v>
      </c>
      <c r="C41" s="1" t="s">
        <v>192</v>
      </c>
      <c r="D41" s="35">
        <v>45470</v>
      </c>
      <c r="E41" s="1">
        <v>2</v>
      </c>
      <c r="F41" s="36"/>
      <c r="G41" s="1">
        <v>1</v>
      </c>
      <c r="H41" s="1">
        <v>70</v>
      </c>
      <c r="I41" s="1">
        <v>37</v>
      </c>
      <c r="J41" s="1">
        <v>20</v>
      </c>
      <c r="K41" s="1">
        <v>0</v>
      </c>
      <c r="L41" s="1">
        <f t="shared" si="0"/>
        <v>0</v>
      </c>
      <c r="M41" s="1" t="s">
        <v>107</v>
      </c>
      <c r="N41" s="1" t="s">
        <v>120</v>
      </c>
      <c r="O41" s="1" t="s">
        <v>109</v>
      </c>
      <c r="P41" s="1" t="s">
        <v>110</v>
      </c>
      <c r="Q41" s="1" t="s">
        <v>110</v>
      </c>
      <c r="R41" s="7">
        <v>1</v>
      </c>
      <c r="S41" s="1">
        <v>4</v>
      </c>
      <c r="T41" s="1">
        <v>0</v>
      </c>
      <c r="U41" s="1"/>
      <c r="V41" s="1"/>
      <c r="W41" s="1"/>
      <c r="X41" s="1"/>
      <c r="Y41" s="1"/>
      <c r="Z41" s="3"/>
      <c r="AA41" s="3">
        <v>1</v>
      </c>
      <c r="AB41" s="3"/>
      <c r="AC41" s="3">
        <v>2</v>
      </c>
      <c r="AD41" s="3">
        <v>2</v>
      </c>
      <c r="AE41" s="3"/>
      <c r="AF41" s="1"/>
      <c r="AG41" s="1">
        <v>1</v>
      </c>
      <c r="AH41" s="1"/>
      <c r="AI41" s="1"/>
      <c r="AJ41" s="1"/>
      <c r="AK41" s="1"/>
      <c r="AL41" s="1"/>
      <c r="AM41" s="1"/>
      <c r="AN41" s="1">
        <v>10</v>
      </c>
      <c r="AO41" s="7">
        <v>5</v>
      </c>
      <c r="AP41" s="7">
        <f t="shared" si="10"/>
        <v>0.29000000000000004</v>
      </c>
      <c r="AQ41" s="7">
        <f t="shared" si="1"/>
        <v>10.344827586206895</v>
      </c>
      <c r="AR41" s="7">
        <f t="shared" si="2"/>
        <v>0</v>
      </c>
      <c r="AS41" s="7">
        <f t="shared" si="3"/>
        <v>0.2</v>
      </c>
      <c r="AT41" s="7">
        <f t="shared" si="4"/>
        <v>0</v>
      </c>
      <c r="AU41" s="7">
        <f t="shared" si="5"/>
        <v>20.68965517241379</v>
      </c>
      <c r="AV41" s="7">
        <f t="shared" si="6"/>
        <v>20.68965517241379</v>
      </c>
      <c r="AW41" s="7">
        <f t="shared" si="7"/>
        <v>0</v>
      </c>
      <c r="AX41" s="7">
        <f t="shared" si="8"/>
        <v>31.034482758620683</v>
      </c>
      <c r="AY41" s="7">
        <v>0.4</v>
      </c>
      <c r="AZ41" s="18">
        <v>16.2</v>
      </c>
      <c r="BA41" s="18">
        <v>81</v>
      </c>
      <c r="BB41" s="7">
        <v>0</v>
      </c>
      <c r="BC41" s="7">
        <v>113</v>
      </c>
      <c r="BD41" s="7">
        <f t="shared" si="9"/>
        <v>22.6</v>
      </c>
      <c r="BE41" s="7">
        <v>0</v>
      </c>
      <c r="BF41" s="1">
        <v>0</v>
      </c>
      <c r="BG41" s="7">
        <v>6840</v>
      </c>
      <c r="BH41" s="7">
        <v>30000</v>
      </c>
      <c r="BI41" s="7">
        <v>1000</v>
      </c>
      <c r="BJ41" s="7">
        <v>20</v>
      </c>
      <c r="BK41" s="1"/>
      <c r="BL41" s="1"/>
      <c r="BM41" s="1">
        <v>2</v>
      </c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7">
        <v>2</v>
      </c>
      <c r="CV41" s="7">
        <v>2</v>
      </c>
      <c r="CW41" s="7">
        <v>0</v>
      </c>
      <c r="CX41" s="7">
        <v>8</v>
      </c>
      <c r="CY41" s="1">
        <v>4</v>
      </c>
      <c r="CZ41" s="1"/>
      <c r="DA41" s="7">
        <v>1</v>
      </c>
      <c r="DB41" s="1"/>
      <c r="DC41" s="1"/>
      <c r="DD41" s="1"/>
      <c r="DE41" s="1"/>
      <c r="DF41" s="1">
        <v>1</v>
      </c>
      <c r="DG41" s="1"/>
      <c r="DH41" s="1"/>
      <c r="DI41" s="1"/>
      <c r="DJ41" s="1">
        <v>1</v>
      </c>
      <c r="DK41" s="1"/>
      <c r="DL41" s="1"/>
      <c r="DM41" s="1">
        <v>1</v>
      </c>
      <c r="DN41" s="1"/>
      <c r="DO41" s="1"/>
      <c r="DP41" s="1"/>
      <c r="DQ41" s="1">
        <v>1</v>
      </c>
      <c r="DR41" s="1"/>
      <c r="DS41" s="1"/>
      <c r="DT41" s="7">
        <v>3</v>
      </c>
      <c r="DU41" s="7">
        <v>2</v>
      </c>
      <c r="DV41" s="1"/>
      <c r="DW41" s="1"/>
      <c r="DX41" s="7">
        <v>900</v>
      </c>
      <c r="DY41" s="7">
        <v>700</v>
      </c>
      <c r="DZ41" s="1"/>
      <c r="EA41" s="1"/>
      <c r="EB41" s="1"/>
      <c r="EC41" s="1" t="s">
        <v>111</v>
      </c>
      <c r="ED41" s="1" t="s">
        <v>112</v>
      </c>
      <c r="EE41" s="1">
        <v>1</v>
      </c>
      <c r="EF41" s="1">
        <v>1</v>
      </c>
      <c r="EG41" s="1" t="s">
        <v>113</v>
      </c>
      <c r="EH41" s="1" t="s">
        <v>114</v>
      </c>
      <c r="EI41" s="1" t="s">
        <v>111</v>
      </c>
      <c r="EJ41" s="1" t="s">
        <v>114</v>
      </c>
      <c r="EK41" s="1">
        <v>5</v>
      </c>
      <c r="EL41" s="1">
        <v>4</v>
      </c>
    </row>
    <row r="42" spans="1:142" x14ac:dyDescent="0.25">
      <c r="A42" s="5">
        <v>38</v>
      </c>
      <c r="B42" s="17" t="s">
        <v>193</v>
      </c>
      <c r="C42" s="1" t="s">
        <v>194</v>
      </c>
      <c r="D42" s="35">
        <v>45366</v>
      </c>
      <c r="E42" s="1">
        <v>2</v>
      </c>
      <c r="F42" s="36"/>
      <c r="G42" s="1">
        <v>1</v>
      </c>
      <c r="H42" s="1">
        <v>44</v>
      </c>
      <c r="I42" s="1">
        <v>40</v>
      </c>
      <c r="J42" s="1">
        <v>20</v>
      </c>
      <c r="K42" s="1">
        <v>0</v>
      </c>
      <c r="L42" s="1">
        <f t="shared" si="0"/>
        <v>0</v>
      </c>
      <c r="M42" s="1" t="s">
        <v>107</v>
      </c>
      <c r="N42" s="1" t="s">
        <v>120</v>
      </c>
      <c r="O42" s="1" t="s">
        <v>109</v>
      </c>
      <c r="P42" s="1" t="s">
        <v>110</v>
      </c>
      <c r="Q42" s="1" t="s">
        <v>110</v>
      </c>
      <c r="R42" s="7">
        <v>3</v>
      </c>
      <c r="S42" s="1">
        <v>5</v>
      </c>
      <c r="T42" s="1">
        <v>0</v>
      </c>
      <c r="U42" s="1"/>
      <c r="V42" s="1"/>
      <c r="W42" s="1"/>
      <c r="X42" s="1"/>
      <c r="Y42" s="1"/>
      <c r="Z42" s="3"/>
      <c r="AA42" s="3">
        <v>1</v>
      </c>
      <c r="AB42" s="3"/>
      <c r="AC42" s="3">
        <v>1</v>
      </c>
      <c r="AD42" s="3"/>
      <c r="AE42" s="3">
        <v>2</v>
      </c>
      <c r="AF42" s="1">
        <v>1</v>
      </c>
      <c r="AG42" s="1"/>
      <c r="AH42" s="1"/>
      <c r="AI42" s="1"/>
      <c r="AJ42" s="1"/>
      <c r="AK42" s="1"/>
      <c r="AL42" s="1"/>
      <c r="AM42" s="1"/>
      <c r="AN42" s="1">
        <v>10</v>
      </c>
      <c r="AO42" s="7">
        <v>4</v>
      </c>
      <c r="AP42" s="7">
        <f t="shared" si="10"/>
        <v>0.26</v>
      </c>
      <c r="AQ42" s="7">
        <f t="shared" si="1"/>
        <v>11.538461538461538</v>
      </c>
      <c r="AR42" s="7">
        <f t="shared" si="2"/>
        <v>0</v>
      </c>
      <c r="AS42" s="7">
        <f t="shared" si="3"/>
        <v>0.25</v>
      </c>
      <c r="AT42" s="7">
        <f t="shared" si="4"/>
        <v>0</v>
      </c>
      <c r="AU42" s="7">
        <f t="shared" si="5"/>
        <v>11.538461538461538</v>
      </c>
      <c r="AV42" s="7">
        <f t="shared" si="6"/>
        <v>0</v>
      </c>
      <c r="AW42" s="7">
        <f t="shared" si="7"/>
        <v>23.076923076923077</v>
      </c>
      <c r="AX42" s="7">
        <f t="shared" si="8"/>
        <v>46.153846153846153</v>
      </c>
      <c r="AY42" s="7">
        <v>0.5</v>
      </c>
      <c r="AZ42" s="18">
        <v>11</v>
      </c>
      <c r="BA42" s="18">
        <v>44</v>
      </c>
      <c r="BB42" s="7">
        <v>0.5</v>
      </c>
      <c r="BC42" s="7">
        <v>66</v>
      </c>
      <c r="BD42" s="7">
        <f t="shared" si="9"/>
        <v>16.5</v>
      </c>
      <c r="BE42" s="7">
        <v>0</v>
      </c>
      <c r="BF42" s="1">
        <v>0</v>
      </c>
      <c r="BG42" s="7">
        <v>4710</v>
      </c>
      <c r="BH42" s="7">
        <v>30000</v>
      </c>
      <c r="BI42" s="7">
        <v>800</v>
      </c>
      <c r="BJ42" s="7">
        <v>16</v>
      </c>
      <c r="BK42" s="1"/>
      <c r="BL42" s="1"/>
      <c r="BM42" s="1"/>
      <c r="BN42" s="1"/>
      <c r="BO42" s="1"/>
      <c r="BP42" s="1"/>
      <c r="BQ42" s="1"/>
      <c r="BR42" s="1"/>
      <c r="BS42" s="1"/>
      <c r="BT42" s="1">
        <v>1</v>
      </c>
      <c r="BU42" s="1">
        <v>1</v>
      </c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7">
        <v>2</v>
      </c>
      <c r="CV42" s="7">
        <v>2</v>
      </c>
      <c r="CW42" s="7">
        <v>0</v>
      </c>
      <c r="CX42" s="7">
        <v>8</v>
      </c>
      <c r="CY42" s="1">
        <v>4</v>
      </c>
      <c r="CZ42" s="1"/>
      <c r="DA42" s="7">
        <v>1</v>
      </c>
      <c r="DB42" s="1"/>
      <c r="DC42" s="1">
        <v>1</v>
      </c>
      <c r="DD42" s="1"/>
      <c r="DE42" s="1"/>
      <c r="DF42" s="1">
        <v>1</v>
      </c>
      <c r="DG42" s="1"/>
      <c r="DH42" s="1"/>
      <c r="DI42" s="1"/>
      <c r="DJ42" s="1">
        <v>1</v>
      </c>
      <c r="DK42" s="1"/>
      <c r="DL42" s="1"/>
      <c r="DM42" s="1">
        <v>1</v>
      </c>
      <c r="DN42" s="1"/>
      <c r="DO42" s="1">
        <v>1</v>
      </c>
      <c r="DP42" s="1"/>
      <c r="DQ42" s="1">
        <v>1</v>
      </c>
      <c r="DR42" s="1"/>
      <c r="DS42" s="1"/>
      <c r="DT42" s="7">
        <v>3</v>
      </c>
      <c r="DU42" s="7">
        <v>2</v>
      </c>
      <c r="DV42" s="1"/>
      <c r="DW42" s="1"/>
      <c r="DX42" s="7">
        <v>700</v>
      </c>
      <c r="DY42" s="7">
        <v>600</v>
      </c>
      <c r="DZ42" s="1"/>
      <c r="EA42" s="1"/>
      <c r="EB42" s="1"/>
      <c r="EC42" s="1" t="s">
        <v>111</v>
      </c>
      <c r="ED42" s="1" t="s">
        <v>112</v>
      </c>
      <c r="EE42" s="1">
        <v>1</v>
      </c>
      <c r="EF42" s="1">
        <v>1</v>
      </c>
      <c r="EG42" s="1" t="s">
        <v>113</v>
      </c>
      <c r="EH42" s="1" t="s">
        <v>114</v>
      </c>
      <c r="EI42" s="1" t="s">
        <v>111</v>
      </c>
      <c r="EJ42" s="1" t="s">
        <v>114</v>
      </c>
      <c r="EK42" s="1">
        <v>5</v>
      </c>
      <c r="EL42" s="1">
        <v>5</v>
      </c>
    </row>
    <row r="43" spans="1:142" x14ac:dyDescent="0.25">
      <c r="A43" s="5">
        <v>39</v>
      </c>
      <c r="B43" s="17" t="s">
        <v>195</v>
      </c>
      <c r="C43" s="1" t="s">
        <v>196</v>
      </c>
      <c r="D43" s="35">
        <v>45370</v>
      </c>
      <c r="E43" s="1">
        <v>2</v>
      </c>
      <c r="F43" s="36"/>
      <c r="G43" s="1">
        <v>1</v>
      </c>
      <c r="H43" s="1">
        <v>42</v>
      </c>
      <c r="I43" s="1">
        <v>15</v>
      </c>
      <c r="J43" s="1">
        <v>15</v>
      </c>
      <c r="K43" s="1">
        <v>0</v>
      </c>
      <c r="L43" s="1">
        <f t="shared" si="0"/>
        <v>0</v>
      </c>
      <c r="M43" s="1" t="s">
        <v>107</v>
      </c>
      <c r="N43" s="1" t="s">
        <v>120</v>
      </c>
      <c r="O43" s="1" t="s">
        <v>109</v>
      </c>
      <c r="P43" s="1" t="s">
        <v>110</v>
      </c>
      <c r="Q43" s="1" t="s">
        <v>110</v>
      </c>
      <c r="R43" s="7">
        <v>1</v>
      </c>
      <c r="S43" s="1">
        <v>4</v>
      </c>
      <c r="T43" s="1">
        <v>1.2644</v>
      </c>
      <c r="U43" s="1">
        <v>1</v>
      </c>
      <c r="V43" s="1">
        <v>1</v>
      </c>
      <c r="W43" s="1"/>
      <c r="X43" s="1"/>
      <c r="Y43" s="1"/>
      <c r="Z43" s="3">
        <v>1</v>
      </c>
      <c r="AA43" s="3">
        <v>2</v>
      </c>
      <c r="AB43" s="3">
        <v>1</v>
      </c>
      <c r="AC43" s="3"/>
      <c r="AD43" s="3"/>
      <c r="AE43" s="3">
        <v>3</v>
      </c>
      <c r="AF43" s="1"/>
      <c r="AG43" s="1"/>
      <c r="AH43" s="1"/>
      <c r="AI43" s="1"/>
      <c r="AJ43" s="1"/>
      <c r="AK43" s="1"/>
      <c r="AL43" s="1"/>
      <c r="AM43" s="1"/>
      <c r="AN43" s="1">
        <v>10</v>
      </c>
      <c r="AO43" s="7">
        <v>7</v>
      </c>
      <c r="AP43" s="7">
        <f t="shared" si="10"/>
        <v>0.42000000000000004</v>
      </c>
      <c r="AQ43" s="7">
        <f t="shared" si="1"/>
        <v>21.428571428571423</v>
      </c>
      <c r="AR43" s="7">
        <f t="shared" si="2"/>
        <v>0.14285714285714285</v>
      </c>
      <c r="AS43" s="7">
        <f t="shared" si="3"/>
        <v>0.2857142857142857</v>
      </c>
      <c r="AT43" s="7">
        <f t="shared" si="4"/>
        <v>7.1428571428571423</v>
      </c>
      <c r="AU43" s="7">
        <f t="shared" si="5"/>
        <v>0</v>
      </c>
      <c r="AV43" s="7">
        <f t="shared" si="6"/>
        <v>0</v>
      </c>
      <c r="AW43" s="7">
        <f t="shared" si="7"/>
        <v>21.428571428571423</v>
      </c>
      <c r="AX43" s="7">
        <f t="shared" si="8"/>
        <v>35.714285714285708</v>
      </c>
      <c r="AY43" s="7">
        <v>0.28570000000000001</v>
      </c>
      <c r="AZ43" s="18">
        <v>11.428571428571429</v>
      </c>
      <c r="BA43" s="18">
        <v>80</v>
      </c>
      <c r="BB43" s="7">
        <v>0.75</v>
      </c>
      <c r="BC43" s="7">
        <v>120</v>
      </c>
      <c r="BD43" s="7">
        <f t="shared" si="9"/>
        <v>17.142857142857142</v>
      </c>
      <c r="BE43" s="7">
        <v>1</v>
      </c>
      <c r="BF43" s="1">
        <v>800</v>
      </c>
      <c r="BG43" s="7">
        <v>8250</v>
      </c>
      <c r="BH43" s="7">
        <v>15000</v>
      </c>
      <c r="BI43" s="7">
        <v>1500</v>
      </c>
      <c r="BJ43" s="7">
        <v>30</v>
      </c>
      <c r="BK43" s="1"/>
      <c r="BL43" s="1"/>
      <c r="BM43" s="1"/>
      <c r="BN43" s="1"/>
      <c r="BO43" s="1"/>
      <c r="BP43" s="1">
        <v>1</v>
      </c>
      <c r="BQ43" s="1">
        <v>1</v>
      </c>
      <c r="BR43" s="1">
        <v>1</v>
      </c>
      <c r="BS43" s="1"/>
      <c r="BT43" s="1">
        <v>2</v>
      </c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7">
        <v>2</v>
      </c>
      <c r="CV43" s="7">
        <v>2</v>
      </c>
      <c r="CW43" s="7">
        <v>0</v>
      </c>
      <c r="CX43" s="7">
        <v>8</v>
      </c>
      <c r="CY43" s="1">
        <v>2</v>
      </c>
      <c r="CZ43" s="1"/>
      <c r="DA43" s="7">
        <v>1</v>
      </c>
      <c r="DB43" s="1"/>
      <c r="DC43" s="1">
        <v>1</v>
      </c>
      <c r="DD43" s="1"/>
      <c r="DE43" s="1"/>
      <c r="DF43" s="1">
        <v>1</v>
      </c>
      <c r="DG43" s="1"/>
      <c r="DH43" s="1"/>
      <c r="DI43" s="1"/>
      <c r="DJ43" s="1">
        <v>1</v>
      </c>
      <c r="DK43" s="1"/>
      <c r="DL43" s="1"/>
      <c r="DM43" s="1">
        <v>1</v>
      </c>
      <c r="DN43" s="1"/>
      <c r="DO43" s="1">
        <v>1</v>
      </c>
      <c r="DP43" s="1"/>
      <c r="DQ43" s="1">
        <v>1</v>
      </c>
      <c r="DR43" s="1"/>
      <c r="DS43" s="1"/>
      <c r="DT43" s="7">
        <v>3</v>
      </c>
      <c r="DU43" s="7">
        <v>2</v>
      </c>
      <c r="DV43" s="1"/>
      <c r="DW43" s="1"/>
      <c r="DX43" s="7">
        <v>1100</v>
      </c>
      <c r="DY43" s="7">
        <v>1800</v>
      </c>
      <c r="DZ43" s="1"/>
      <c r="EA43" s="1"/>
      <c r="EB43" s="1"/>
      <c r="EC43" s="1" t="s">
        <v>111</v>
      </c>
      <c r="ED43" s="1" t="s">
        <v>112</v>
      </c>
      <c r="EE43" s="1">
        <v>1</v>
      </c>
      <c r="EF43" s="1">
        <v>1</v>
      </c>
      <c r="EG43" s="1" t="s">
        <v>113</v>
      </c>
      <c r="EH43" s="1" t="s">
        <v>114</v>
      </c>
      <c r="EI43" s="1" t="s">
        <v>111</v>
      </c>
      <c r="EJ43" s="1" t="s">
        <v>114</v>
      </c>
      <c r="EK43" s="1">
        <v>6</v>
      </c>
      <c r="EL43" s="1">
        <v>4</v>
      </c>
    </row>
    <row r="44" spans="1:142" x14ac:dyDescent="0.25">
      <c r="A44" s="5">
        <v>40</v>
      </c>
      <c r="B44" s="17" t="s">
        <v>197</v>
      </c>
      <c r="C44" s="1" t="s">
        <v>198</v>
      </c>
      <c r="D44" s="35">
        <v>45366</v>
      </c>
      <c r="E44" s="1">
        <v>2</v>
      </c>
      <c r="F44" s="36"/>
      <c r="G44" s="1">
        <v>1</v>
      </c>
      <c r="H44" s="1">
        <v>39</v>
      </c>
      <c r="I44" s="1">
        <v>13</v>
      </c>
      <c r="J44" s="1">
        <v>2</v>
      </c>
      <c r="K44" s="1">
        <v>0</v>
      </c>
      <c r="L44" s="1">
        <f t="shared" si="0"/>
        <v>0</v>
      </c>
      <c r="M44" s="1" t="s">
        <v>107</v>
      </c>
      <c r="N44" s="1" t="s">
        <v>120</v>
      </c>
      <c r="O44" s="1" t="s">
        <v>109</v>
      </c>
      <c r="P44" s="1" t="s">
        <v>110</v>
      </c>
      <c r="Q44" s="1" t="s">
        <v>110</v>
      </c>
      <c r="R44" s="7">
        <v>1</v>
      </c>
      <c r="S44" s="1">
        <v>4</v>
      </c>
      <c r="T44" s="1">
        <v>0.18966</v>
      </c>
      <c r="U44" s="1"/>
      <c r="V44" s="1"/>
      <c r="W44" s="1"/>
      <c r="X44" s="1"/>
      <c r="Y44" s="1"/>
      <c r="Z44" s="3">
        <v>2</v>
      </c>
      <c r="AA44" s="3">
        <v>1</v>
      </c>
      <c r="AB44" s="3">
        <v>1</v>
      </c>
      <c r="AC44" s="3"/>
      <c r="AD44" s="3"/>
      <c r="AE44" s="3">
        <v>2</v>
      </c>
      <c r="AF44" s="1">
        <v>1</v>
      </c>
      <c r="AG44" s="1">
        <v>1</v>
      </c>
      <c r="AH44" s="1"/>
      <c r="AI44" s="1"/>
      <c r="AJ44" s="1"/>
      <c r="AK44" s="1"/>
      <c r="AL44" s="1"/>
      <c r="AM44" s="1"/>
      <c r="AN44" s="1">
        <v>9</v>
      </c>
      <c r="AO44" s="7">
        <v>6</v>
      </c>
      <c r="AP44" s="7">
        <f t="shared" si="10"/>
        <v>0.32</v>
      </c>
      <c r="AQ44" s="7">
        <f t="shared" si="1"/>
        <v>28.125</v>
      </c>
      <c r="AR44" s="7">
        <f t="shared" si="2"/>
        <v>0.33333333333333331</v>
      </c>
      <c r="AS44" s="7">
        <f t="shared" si="3"/>
        <v>0.16666666666666666</v>
      </c>
      <c r="AT44" s="7">
        <f t="shared" si="4"/>
        <v>9.375</v>
      </c>
      <c r="AU44" s="7">
        <f t="shared" si="5"/>
        <v>0</v>
      </c>
      <c r="AV44" s="7">
        <f t="shared" si="6"/>
        <v>0</v>
      </c>
      <c r="AW44" s="7">
        <f t="shared" si="7"/>
        <v>18.75</v>
      </c>
      <c r="AX44" s="7">
        <f t="shared" si="8"/>
        <v>28.125</v>
      </c>
      <c r="AY44" s="7">
        <v>0.33329999999999999</v>
      </c>
      <c r="AZ44" s="18">
        <v>8.6666666666666661</v>
      </c>
      <c r="BA44" s="18">
        <v>52</v>
      </c>
      <c r="BB44" s="7">
        <v>1.5</v>
      </c>
      <c r="BC44" s="7">
        <v>86</v>
      </c>
      <c r="BD44" s="7">
        <f t="shared" si="9"/>
        <v>14.333333333333334</v>
      </c>
      <c r="BE44" s="7">
        <v>0</v>
      </c>
      <c r="BF44" s="1">
        <v>0</v>
      </c>
      <c r="BG44" s="7">
        <v>5340</v>
      </c>
      <c r="BH44" s="7">
        <v>30000</v>
      </c>
      <c r="BI44" s="7">
        <v>1200</v>
      </c>
      <c r="BJ44" s="7">
        <v>24</v>
      </c>
      <c r="BK44" s="1"/>
      <c r="BL44" s="1"/>
      <c r="BM44" s="1"/>
      <c r="BN44" s="1"/>
      <c r="BO44" s="1"/>
      <c r="BP44" s="1"/>
      <c r="BQ44" s="1">
        <v>2</v>
      </c>
      <c r="BR44" s="1">
        <v>1</v>
      </c>
      <c r="BS44" s="1"/>
      <c r="BT44" s="1">
        <v>1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7">
        <v>2</v>
      </c>
      <c r="CV44" s="7">
        <v>2</v>
      </c>
      <c r="CW44" s="7">
        <v>0</v>
      </c>
      <c r="CX44" s="7">
        <v>8</v>
      </c>
      <c r="CY44" s="1">
        <v>4</v>
      </c>
      <c r="CZ44" s="1"/>
      <c r="DA44" s="7">
        <v>1</v>
      </c>
      <c r="DB44" s="1"/>
      <c r="DC44" s="1">
        <v>1</v>
      </c>
      <c r="DD44" s="1"/>
      <c r="DE44" s="1"/>
      <c r="DF44" s="1">
        <v>1</v>
      </c>
      <c r="DG44" s="1"/>
      <c r="DH44" s="1"/>
      <c r="DI44" s="1"/>
      <c r="DJ44" s="1">
        <v>1</v>
      </c>
      <c r="DK44" s="1"/>
      <c r="DL44" s="1"/>
      <c r="DM44" s="1">
        <v>1</v>
      </c>
      <c r="DN44" s="1"/>
      <c r="DO44" s="1">
        <v>1</v>
      </c>
      <c r="DP44" s="1"/>
      <c r="DQ44" s="1">
        <v>1</v>
      </c>
      <c r="DR44" s="1"/>
      <c r="DS44" s="1"/>
      <c r="DT44" s="7">
        <v>3</v>
      </c>
      <c r="DU44" s="7">
        <v>2</v>
      </c>
      <c r="DV44" s="1"/>
      <c r="DW44" s="1"/>
      <c r="DX44" s="7">
        <v>1100</v>
      </c>
      <c r="DY44" s="7">
        <v>1000</v>
      </c>
      <c r="DZ44" s="1"/>
      <c r="EA44" s="1"/>
      <c r="EB44" s="1"/>
      <c r="EC44" s="1" t="s">
        <v>111</v>
      </c>
      <c r="ED44" s="1" t="s">
        <v>112</v>
      </c>
      <c r="EE44" s="1">
        <v>1</v>
      </c>
      <c r="EF44" s="1">
        <v>1</v>
      </c>
      <c r="EG44" s="1" t="s">
        <v>113</v>
      </c>
      <c r="EH44" s="1" t="s">
        <v>114</v>
      </c>
      <c r="EI44" s="1" t="s">
        <v>111</v>
      </c>
      <c r="EJ44" s="1" t="s">
        <v>114</v>
      </c>
      <c r="EK44" s="1">
        <v>6</v>
      </c>
      <c r="EL44" s="1">
        <v>5</v>
      </c>
    </row>
    <row r="45" spans="1:142" x14ac:dyDescent="0.25">
      <c r="A45" s="5">
        <v>41</v>
      </c>
      <c r="B45" s="17" t="s">
        <v>199</v>
      </c>
      <c r="C45" s="1" t="s">
        <v>129</v>
      </c>
      <c r="D45" s="35">
        <v>45366</v>
      </c>
      <c r="E45" s="1">
        <v>2</v>
      </c>
      <c r="F45" s="36"/>
      <c r="G45" s="1">
        <v>1</v>
      </c>
      <c r="H45" s="1">
        <v>35</v>
      </c>
      <c r="I45" s="1">
        <v>22</v>
      </c>
      <c r="J45" s="1">
        <v>1</v>
      </c>
      <c r="K45" s="1">
        <v>5</v>
      </c>
      <c r="L45" s="1">
        <f t="shared" si="0"/>
        <v>1</v>
      </c>
      <c r="M45" s="1" t="s">
        <v>107</v>
      </c>
      <c r="N45" s="1" t="s">
        <v>120</v>
      </c>
      <c r="O45" s="1" t="s">
        <v>127</v>
      </c>
      <c r="P45" s="1" t="s">
        <v>110</v>
      </c>
      <c r="Q45" s="1" t="s">
        <v>110</v>
      </c>
      <c r="R45" s="7">
        <v>1</v>
      </c>
      <c r="S45" s="1">
        <v>3</v>
      </c>
      <c r="T45" s="1">
        <v>0.12644</v>
      </c>
      <c r="U45" s="1"/>
      <c r="V45" s="1"/>
      <c r="W45" s="1"/>
      <c r="X45" s="1"/>
      <c r="Y45" s="1"/>
      <c r="Z45" s="3"/>
      <c r="AA45" s="3">
        <v>1</v>
      </c>
      <c r="AB45" s="3"/>
      <c r="AC45" s="3">
        <v>1</v>
      </c>
      <c r="AD45" s="3"/>
      <c r="AE45" s="3">
        <v>2</v>
      </c>
      <c r="AF45" s="1"/>
      <c r="AG45" s="1">
        <v>1</v>
      </c>
      <c r="AH45" s="1"/>
      <c r="AI45" s="1"/>
      <c r="AJ45" s="1"/>
      <c r="AK45" s="1"/>
      <c r="AL45" s="1"/>
      <c r="AM45" s="1">
        <v>2</v>
      </c>
      <c r="AN45" s="1">
        <v>9</v>
      </c>
      <c r="AO45" s="7">
        <v>4</v>
      </c>
      <c r="AP45" s="7">
        <f t="shared" si="10"/>
        <v>0.26</v>
      </c>
      <c r="AQ45" s="7">
        <f t="shared" si="1"/>
        <v>11.538461538461538</v>
      </c>
      <c r="AR45" s="7">
        <f t="shared" si="2"/>
        <v>0</v>
      </c>
      <c r="AS45" s="7">
        <f t="shared" si="3"/>
        <v>0.25</v>
      </c>
      <c r="AT45" s="7">
        <f t="shared" si="4"/>
        <v>0</v>
      </c>
      <c r="AU45" s="7">
        <f t="shared" si="5"/>
        <v>11.538461538461538</v>
      </c>
      <c r="AV45" s="7">
        <f t="shared" si="6"/>
        <v>0</v>
      </c>
      <c r="AW45" s="7">
        <f t="shared" si="7"/>
        <v>23.076923076923077</v>
      </c>
      <c r="AX45" s="7">
        <f t="shared" si="8"/>
        <v>46.153846153846153</v>
      </c>
      <c r="AY45" s="7">
        <v>0.5</v>
      </c>
      <c r="AZ45" s="18">
        <v>10.75</v>
      </c>
      <c r="BA45" s="18">
        <v>43</v>
      </c>
      <c r="BB45" s="7">
        <v>0.5</v>
      </c>
      <c r="BC45" s="7">
        <v>66</v>
      </c>
      <c r="BD45" s="7">
        <f t="shared" si="9"/>
        <v>16.5</v>
      </c>
      <c r="BE45" s="7">
        <v>0</v>
      </c>
      <c r="BF45" s="1">
        <v>0</v>
      </c>
      <c r="BG45" s="7">
        <v>4690</v>
      </c>
      <c r="BH45" s="7">
        <v>15000</v>
      </c>
      <c r="BI45" s="7">
        <v>900</v>
      </c>
      <c r="BJ45" s="7">
        <v>18</v>
      </c>
      <c r="BK45" s="1"/>
      <c r="BL45" s="1"/>
      <c r="BM45" s="1"/>
      <c r="BN45" s="1"/>
      <c r="BO45" s="1"/>
      <c r="BP45" s="1"/>
      <c r="BQ45" s="1"/>
      <c r="BR45" s="1"/>
      <c r="BS45" s="1"/>
      <c r="BT45" s="1">
        <v>1</v>
      </c>
      <c r="BU45" s="1">
        <v>1</v>
      </c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7">
        <v>2</v>
      </c>
      <c r="CV45" s="7">
        <v>2</v>
      </c>
      <c r="CW45" s="7">
        <v>0</v>
      </c>
      <c r="CX45" s="7">
        <v>8</v>
      </c>
      <c r="CY45" s="1">
        <v>2</v>
      </c>
      <c r="CZ45" s="1"/>
      <c r="DA45" s="7">
        <v>1</v>
      </c>
      <c r="DB45" s="1"/>
      <c r="DC45" s="1">
        <v>1</v>
      </c>
      <c r="DD45" s="1"/>
      <c r="DE45" s="1"/>
      <c r="DF45" s="1">
        <v>1</v>
      </c>
      <c r="DG45" s="1"/>
      <c r="DH45" s="1"/>
      <c r="DI45" s="1"/>
      <c r="DJ45" s="1">
        <v>1</v>
      </c>
      <c r="DK45" s="1"/>
      <c r="DL45" s="1"/>
      <c r="DM45" s="1">
        <v>1</v>
      </c>
      <c r="DN45" s="1"/>
      <c r="DO45" s="1">
        <v>1</v>
      </c>
      <c r="DP45" s="1"/>
      <c r="DQ45" s="1">
        <v>1</v>
      </c>
      <c r="DR45" s="1"/>
      <c r="DS45" s="1"/>
      <c r="DT45" s="7">
        <v>3</v>
      </c>
      <c r="DU45" s="7">
        <v>3</v>
      </c>
      <c r="DV45" s="1"/>
      <c r="DW45" s="1"/>
      <c r="DX45" s="7">
        <v>700</v>
      </c>
      <c r="DY45" s="7">
        <v>100</v>
      </c>
      <c r="DZ45" s="1"/>
      <c r="EA45" s="1"/>
      <c r="EB45" s="1"/>
      <c r="EC45" s="1" t="s">
        <v>111</v>
      </c>
      <c r="ED45" s="1" t="s">
        <v>112</v>
      </c>
      <c r="EE45" s="1">
        <v>1</v>
      </c>
      <c r="EF45" s="1">
        <v>1</v>
      </c>
      <c r="EG45" s="1" t="s">
        <v>113</v>
      </c>
      <c r="EH45" s="1" t="s">
        <v>114</v>
      </c>
      <c r="EI45" s="1" t="s">
        <v>111</v>
      </c>
      <c r="EJ45" s="1" t="s">
        <v>114</v>
      </c>
      <c r="EK45" s="1">
        <v>6</v>
      </c>
      <c r="EL45" s="1">
        <v>5</v>
      </c>
    </row>
    <row r="46" spans="1:142" x14ac:dyDescent="0.25">
      <c r="A46" s="5">
        <v>42</v>
      </c>
      <c r="B46" s="17" t="s">
        <v>200</v>
      </c>
      <c r="C46" s="1" t="s">
        <v>201</v>
      </c>
      <c r="D46" s="35">
        <v>45366</v>
      </c>
      <c r="E46" s="1">
        <v>2</v>
      </c>
      <c r="F46" s="36"/>
      <c r="G46" s="1">
        <v>1</v>
      </c>
      <c r="H46" s="1">
        <v>30</v>
      </c>
      <c r="I46" s="1">
        <v>8</v>
      </c>
      <c r="J46" s="1">
        <v>4</v>
      </c>
      <c r="K46" s="1">
        <v>12</v>
      </c>
      <c r="L46" s="1">
        <f t="shared" si="0"/>
        <v>4</v>
      </c>
      <c r="M46" s="1" t="s">
        <v>107</v>
      </c>
      <c r="N46" s="1" t="s">
        <v>120</v>
      </c>
      <c r="O46" s="1" t="s">
        <v>109</v>
      </c>
      <c r="P46" s="1" t="s">
        <v>110</v>
      </c>
      <c r="Q46" s="1" t="s">
        <v>110</v>
      </c>
      <c r="R46" s="7">
        <v>1</v>
      </c>
      <c r="S46" s="1">
        <v>4</v>
      </c>
      <c r="T46" s="1">
        <v>0.151728</v>
      </c>
      <c r="U46" s="1">
        <v>2</v>
      </c>
      <c r="V46" s="1"/>
      <c r="W46" s="1"/>
      <c r="X46" s="1"/>
      <c r="Y46" s="1"/>
      <c r="Z46" s="3"/>
      <c r="AA46" s="3">
        <v>2</v>
      </c>
      <c r="AB46" s="3"/>
      <c r="AC46" s="3">
        <v>1</v>
      </c>
      <c r="AD46" s="3"/>
      <c r="AE46" s="3">
        <v>1</v>
      </c>
      <c r="AF46" s="1"/>
      <c r="AG46" s="1">
        <v>1</v>
      </c>
      <c r="AH46" s="1"/>
      <c r="AI46" s="1"/>
      <c r="AJ46" s="1"/>
      <c r="AK46" s="1"/>
      <c r="AL46" s="1"/>
      <c r="AM46" s="1">
        <v>2</v>
      </c>
      <c r="AN46" s="1">
        <v>8</v>
      </c>
      <c r="AO46" s="7">
        <v>4</v>
      </c>
      <c r="AP46" s="7">
        <f t="shared" si="10"/>
        <v>0.19</v>
      </c>
      <c r="AQ46" s="7">
        <f t="shared" si="1"/>
        <v>31.578947368421051</v>
      </c>
      <c r="AR46" s="7">
        <f t="shared" si="2"/>
        <v>0</v>
      </c>
      <c r="AS46" s="7">
        <f t="shared" si="3"/>
        <v>0.5</v>
      </c>
      <c r="AT46" s="7">
        <f t="shared" si="4"/>
        <v>0</v>
      </c>
      <c r="AU46" s="7">
        <f t="shared" si="5"/>
        <v>15.789473684210526</v>
      </c>
      <c r="AV46" s="7">
        <f t="shared" si="6"/>
        <v>0</v>
      </c>
      <c r="AW46" s="7">
        <f t="shared" si="7"/>
        <v>15.789473684210526</v>
      </c>
      <c r="AX46" s="7">
        <f t="shared" si="8"/>
        <v>63.157894736842103</v>
      </c>
      <c r="AY46" s="7">
        <v>0.25</v>
      </c>
      <c r="AZ46" s="18">
        <v>8</v>
      </c>
      <c r="BA46" s="18">
        <v>32</v>
      </c>
      <c r="BB46" s="7">
        <v>1</v>
      </c>
      <c r="BC46" s="7">
        <v>53</v>
      </c>
      <c r="BD46" s="7">
        <f t="shared" si="9"/>
        <v>13.25</v>
      </c>
      <c r="BE46" s="7">
        <v>0</v>
      </c>
      <c r="BF46" s="1">
        <v>0</v>
      </c>
      <c r="BG46" s="7">
        <v>3720</v>
      </c>
      <c r="BH46" s="7">
        <v>30000</v>
      </c>
      <c r="BI46" s="7">
        <v>900</v>
      </c>
      <c r="BJ46" s="7">
        <v>18</v>
      </c>
      <c r="BK46" s="1"/>
      <c r="BL46" s="1"/>
      <c r="BM46" s="1"/>
      <c r="BN46" s="1">
        <v>1</v>
      </c>
      <c r="BO46" s="1"/>
      <c r="BP46" s="1"/>
      <c r="BQ46" s="1"/>
      <c r="BR46" s="1"/>
      <c r="BS46" s="1"/>
      <c r="BT46" s="1">
        <v>2</v>
      </c>
      <c r="BU46" s="1">
        <v>1</v>
      </c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>
        <v>1</v>
      </c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7">
        <v>2</v>
      </c>
      <c r="CV46" s="7">
        <v>2</v>
      </c>
      <c r="CW46" s="7">
        <v>0</v>
      </c>
      <c r="CX46" s="7">
        <v>8</v>
      </c>
      <c r="CY46" s="1">
        <v>4</v>
      </c>
      <c r="CZ46" s="1"/>
      <c r="DA46" s="7">
        <v>1</v>
      </c>
      <c r="DB46" s="1"/>
      <c r="DC46" s="1"/>
      <c r="DD46" s="1"/>
      <c r="DE46" s="1"/>
      <c r="DF46" s="1">
        <v>1</v>
      </c>
      <c r="DG46" s="1"/>
      <c r="DH46" s="1"/>
      <c r="DI46" s="1"/>
      <c r="DJ46" s="1">
        <v>1</v>
      </c>
      <c r="DK46" s="1"/>
      <c r="DL46" s="1"/>
      <c r="DM46" s="1">
        <v>1</v>
      </c>
      <c r="DN46" s="1"/>
      <c r="DO46" s="1"/>
      <c r="DP46" s="1"/>
      <c r="DQ46" s="1">
        <v>1</v>
      </c>
      <c r="DR46" s="1"/>
      <c r="DS46" s="1"/>
      <c r="DT46" s="7">
        <v>3</v>
      </c>
      <c r="DU46" s="7">
        <v>1</v>
      </c>
      <c r="DV46" s="7">
        <v>98300</v>
      </c>
      <c r="DW46" s="1"/>
      <c r="DX46" s="7">
        <v>800</v>
      </c>
      <c r="DY46" s="7">
        <v>1000</v>
      </c>
      <c r="DZ46" s="1"/>
      <c r="EA46" s="1"/>
      <c r="EB46" s="1"/>
      <c r="EC46" s="1" t="s">
        <v>111</v>
      </c>
      <c r="ED46" s="1" t="s">
        <v>112</v>
      </c>
      <c r="EE46" s="1">
        <v>1</v>
      </c>
      <c r="EF46" s="1">
        <v>1</v>
      </c>
      <c r="EG46" s="1" t="s">
        <v>113</v>
      </c>
      <c r="EH46" s="1" t="s">
        <v>114</v>
      </c>
      <c r="EI46" s="1" t="s">
        <v>111</v>
      </c>
      <c r="EJ46" s="1" t="s">
        <v>114</v>
      </c>
      <c r="EK46" s="1">
        <v>6</v>
      </c>
      <c r="EL46" s="1">
        <v>4</v>
      </c>
    </row>
    <row r="47" spans="1:142" x14ac:dyDescent="0.25">
      <c r="A47" s="5">
        <v>43</v>
      </c>
      <c r="B47" s="17" t="s">
        <v>202</v>
      </c>
      <c r="C47" s="1" t="s">
        <v>203</v>
      </c>
      <c r="D47" s="35">
        <v>45366</v>
      </c>
      <c r="E47" s="1">
        <v>2</v>
      </c>
      <c r="F47" s="36"/>
      <c r="G47" s="1">
        <v>1</v>
      </c>
      <c r="H47" s="1">
        <v>33</v>
      </c>
      <c r="I47" s="1">
        <v>10</v>
      </c>
      <c r="J47" s="1">
        <v>5</v>
      </c>
      <c r="K47" s="1">
        <v>12</v>
      </c>
      <c r="L47" s="1">
        <f t="shared" si="0"/>
        <v>4</v>
      </c>
      <c r="M47" s="1" t="s">
        <v>107</v>
      </c>
      <c r="N47" s="1" t="s">
        <v>120</v>
      </c>
      <c r="O47" s="1" t="s">
        <v>109</v>
      </c>
      <c r="P47" s="1" t="s">
        <v>110</v>
      </c>
      <c r="Q47" s="1" t="s">
        <v>110</v>
      </c>
      <c r="R47" s="7">
        <v>1</v>
      </c>
      <c r="S47" s="1">
        <v>4</v>
      </c>
      <c r="T47" s="1">
        <v>0.25287999999999999</v>
      </c>
      <c r="U47" s="1"/>
      <c r="V47" s="1"/>
      <c r="W47" s="1"/>
      <c r="X47" s="1"/>
      <c r="Y47" s="1"/>
      <c r="Z47" s="3"/>
      <c r="AA47" s="3">
        <v>2</v>
      </c>
      <c r="AB47" s="3">
        <v>1</v>
      </c>
      <c r="AC47" s="3">
        <v>1</v>
      </c>
      <c r="AD47" s="3"/>
      <c r="AE47" s="3">
        <v>2</v>
      </c>
      <c r="AF47" s="1"/>
      <c r="AG47" s="1"/>
      <c r="AH47" s="1"/>
      <c r="AI47" s="1"/>
      <c r="AJ47" s="1"/>
      <c r="AK47" s="1"/>
      <c r="AL47" s="1">
        <v>2</v>
      </c>
      <c r="AM47" s="1">
        <v>1</v>
      </c>
      <c r="AN47" s="1">
        <v>8</v>
      </c>
      <c r="AO47" s="7">
        <v>6</v>
      </c>
      <c r="AP47" s="7">
        <f t="shared" si="10"/>
        <v>0.32</v>
      </c>
      <c r="AQ47" s="7">
        <f t="shared" si="1"/>
        <v>18.75</v>
      </c>
      <c r="AR47" s="7">
        <f t="shared" si="2"/>
        <v>0</v>
      </c>
      <c r="AS47" s="7">
        <f t="shared" si="3"/>
        <v>0.33333333333333331</v>
      </c>
      <c r="AT47" s="7">
        <f t="shared" si="4"/>
        <v>9.375</v>
      </c>
      <c r="AU47" s="7">
        <f t="shared" si="5"/>
        <v>9.375</v>
      </c>
      <c r="AV47" s="7">
        <f t="shared" si="6"/>
        <v>0</v>
      </c>
      <c r="AW47" s="7">
        <f t="shared" si="7"/>
        <v>18.75</v>
      </c>
      <c r="AX47" s="7">
        <f t="shared" si="8"/>
        <v>46.875</v>
      </c>
      <c r="AY47" s="7">
        <v>0.33329999999999999</v>
      </c>
      <c r="AZ47" s="18">
        <v>9.1666666666666661</v>
      </c>
      <c r="BA47" s="18">
        <v>55</v>
      </c>
      <c r="BB47" s="7">
        <v>1</v>
      </c>
      <c r="BC47" s="7">
        <v>88</v>
      </c>
      <c r="BD47" s="7">
        <f t="shared" si="9"/>
        <v>14.666666666666666</v>
      </c>
      <c r="BE47" s="7">
        <v>0</v>
      </c>
      <c r="BF47" s="1">
        <v>0</v>
      </c>
      <c r="BG47" s="7">
        <v>5610</v>
      </c>
      <c r="BH47" s="7">
        <v>30000</v>
      </c>
      <c r="BI47" s="7">
        <v>1200</v>
      </c>
      <c r="BJ47" s="7">
        <v>24</v>
      </c>
      <c r="BK47" s="1"/>
      <c r="BL47" s="1"/>
      <c r="BM47" s="1"/>
      <c r="BN47" s="1"/>
      <c r="BO47" s="1"/>
      <c r="BP47" s="1"/>
      <c r="BQ47" s="1"/>
      <c r="BR47" s="1">
        <v>1</v>
      </c>
      <c r="BS47" s="1"/>
      <c r="BT47" s="1">
        <v>2</v>
      </c>
      <c r="BU47" s="1">
        <v>1</v>
      </c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7">
        <v>2</v>
      </c>
      <c r="CV47" s="7">
        <v>2</v>
      </c>
      <c r="CW47" s="7">
        <v>0</v>
      </c>
      <c r="CX47" s="7">
        <v>8</v>
      </c>
      <c r="CY47" s="1">
        <v>4</v>
      </c>
      <c r="CZ47" s="1"/>
      <c r="DA47" s="7">
        <v>1</v>
      </c>
      <c r="DB47" s="1"/>
      <c r="DC47" s="1"/>
      <c r="DD47" s="1"/>
      <c r="DE47" s="1"/>
      <c r="DF47" s="1">
        <v>1</v>
      </c>
      <c r="DG47" s="1"/>
      <c r="DH47" s="1"/>
      <c r="DI47" s="1"/>
      <c r="DJ47" s="1">
        <v>1</v>
      </c>
      <c r="DK47" s="1"/>
      <c r="DL47" s="1"/>
      <c r="DM47" s="1">
        <v>1</v>
      </c>
      <c r="DN47" s="1"/>
      <c r="DO47" s="1"/>
      <c r="DP47" s="1"/>
      <c r="DQ47" s="1">
        <v>1</v>
      </c>
      <c r="DR47" s="1"/>
      <c r="DS47" s="1"/>
      <c r="DT47" s="7">
        <v>3</v>
      </c>
      <c r="DU47" s="7">
        <v>2</v>
      </c>
      <c r="DV47" s="1"/>
      <c r="DW47" s="1"/>
      <c r="DX47" s="7">
        <v>1000</v>
      </c>
      <c r="DY47" s="7">
        <v>1500</v>
      </c>
      <c r="DZ47" s="1"/>
      <c r="EA47" s="1"/>
      <c r="EB47" s="1"/>
      <c r="EC47" s="1" t="s">
        <v>111</v>
      </c>
      <c r="ED47" s="1" t="s">
        <v>112</v>
      </c>
      <c r="EE47" s="1">
        <v>1</v>
      </c>
      <c r="EF47" s="1">
        <v>1</v>
      </c>
      <c r="EG47" s="1" t="s">
        <v>113</v>
      </c>
      <c r="EH47" s="1" t="s">
        <v>114</v>
      </c>
      <c r="EI47" s="1" t="s">
        <v>111</v>
      </c>
      <c r="EJ47" s="1" t="s">
        <v>114</v>
      </c>
      <c r="EK47" s="1">
        <v>6</v>
      </c>
      <c r="EL47" s="1">
        <v>5</v>
      </c>
    </row>
    <row r="48" spans="1:142" x14ac:dyDescent="0.25">
      <c r="A48" s="5">
        <v>44</v>
      </c>
      <c r="B48" s="17" t="s">
        <v>204</v>
      </c>
      <c r="C48" s="1" t="s">
        <v>205</v>
      </c>
      <c r="D48" s="35">
        <v>45370</v>
      </c>
      <c r="E48" s="1">
        <v>2</v>
      </c>
      <c r="F48" s="36"/>
      <c r="G48" s="1">
        <v>1</v>
      </c>
      <c r="H48" s="1">
        <v>65</v>
      </c>
      <c r="I48" s="1">
        <v>44</v>
      </c>
      <c r="J48" s="1">
        <v>15</v>
      </c>
      <c r="K48" s="1">
        <v>0</v>
      </c>
      <c r="L48" s="1">
        <f t="shared" si="0"/>
        <v>0</v>
      </c>
      <c r="M48" s="1" t="s">
        <v>107</v>
      </c>
      <c r="N48" s="1" t="s">
        <v>120</v>
      </c>
      <c r="O48" s="1" t="s">
        <v>109</v>
      </c>
      <c r="P48" s="1" t="s">
        <v>110</v>
      </c>
      <c r="Q48" s="1" t="s">
        <v>110</v>
      </c>
      <c r="R48" s="7">
        <v>3</v>
      </c>
      <c r="S48" s="1">
        <v>3</v>
      </c>
      <c r="T48" s="1">
        <v>0</v>
      </c>
      <c r="U48" s="1"/>
      <c r="V48" s="1"/>
      <c r="W48" s="1"/>
      <c r="X48" s="1"/>
      <c r="Y48" s="1"/>
      <c r="Z48" s="3"/>
      <c r="AA48" s="3"/>
      <c r="AB48" s="3"/>
      <c r="AC48" s="3"/>
      <c r="AD48" s="3">
        <v>1</v>
      </c>
      <c r="AE48" s="3">
        <v>3</v>
      </c>
      <c r="AF48" s="1"/>
      <c r="AG48" s="1">
        <v>1</v>
      </c>
      <c r="AH48" s="1"/>
      <c r="AI48" s="1"/>
      <c r="AJ48" s="1"/>
      <c r="AK48" s="1"/>
      <c r="AL48" s="1"/>
      <c r="AM48" s="1"/>
      <c r="AN48" s="1">
        <v>8</v>
      </c>
      <c r="AO48" s="7">
        <v>4</v>
      </c>
      <c r="AP48" s="7">
        <f t="shared" si="10"/>
        <v>0.4</v>
      </c>
      <c r="AQ48" s="7">
        <f t="shared" si="1"/>
        <v>0</v>
      </c>
      <c r="AR48" s="7">
        <f t="shared" si="2"/>
        <v>0</v>
      </c>
      <c r="AS48" s="7">
        <f t="shared" si="3"/>
        <v>0</v>
      </c>
      <c r="AT48" s="7">
        <f t="shared" si="4"/>
        <v>0</v>
      </c>
      <c r="AU48" s="7">
        <f t="shared" si="5"/>
        <v>0</v>
      </c>
      <c r="AV48" s="7">
        <f t="shared" si="6"/>
        <v>7.5</v>
      </c>
      <c r="AW48" s="7">
        <f t="shared" si="7"/>
        <v>22.499999999999996</v>
      </c>
      <c r="AX48" s="7">
        <f t="shared" si="8"/>
        <v>22.499999999999996</v>
      </c>
      <c r="AY48" s="7">
        <v>0.5</v>
      </c>
      <c r="AZ48" s="18">
        <v>23.75</v>
      </c>
      <c r="BA48" s="18">
        <v>95</v>
      </c>
      <c r="BB48" s="7">
        <v>0</v>
      </c>
      <c r="BC48" s="7">
        <v>111</v>
      </c>
      <c r="BD48" s="7">
        <f t="shared" si="9"/>
        <v>27.75</v>
      </c>
      <c r="BE48" s="7">
        <v>2</v>
      </c>
      <c r="BF48" s="1">
        <v>575</v>
      </c>
      <c r="BG48" s="7">
        <v>7510</v>
      </c>
      <c r="BH48" s="7">
        <v>15000</v>
      </c>
      <c r="BI48" s="7">
        <v>900</v>
      </c>
      <c r="BJ48" s="7">
        <v>18</v>
      </c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>
        <v>1</v>
      </c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>
        <v>1</v>
      </c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7">
        <v>2</v>
      </c>
      <c r="CV48" s="7">
        <v>2</v>
      </c>
      <c r="CW48" s="7">
        <v>0</v>
      </c>
      <c r="CX48" s="7">
        <v>8</v>
      </c>
      <c r="CY48" s="1">
        <v>2</v>
      </c>
      <c r="CZ48" s="1"/>
      <c r="DA48" s="7">
        <v>1</v>
      </c>
      <c r="DB48" s="1"/>
      <c r="DC48" s="1"/>
      <c r="DD48" s="1"/>
      <c r="DE48" s="1"/>
      <c r="DF48" s="1">
        <v>1</v>
      </c>
      <c r="DG48" s="1"/>
      <c r="DH48" s="1"/>
      <c r="DI48" s="1"/>
      <c r="DJ48" s="1">
        <v>1</v>
      </c>
      <c r="DK48" s="1"/>
      <c r="DL48" s="1"/>
      <c r="DM48" s="1">
        <v>1</v>
      </c>
      <c r="DN48" s="1"/>
      <c r="DO48" s="1"/>
      <c r="DP48" s="1"/>
      <c r="DQ48" s="1">
        <v>1</v>
      </c>
      <c r="DR48" s="1"/>
      <c r="DS48" s="1"/>
      <c r="DT48" s="7">
        <v>3</v>
      </c>
      <c r="DU48" s="7">
        <v>3</v>
      </c>
      <c r="DV48" s="1"/>
      <c r="DW48" s="1"/>
      <c r="DX48" s="7">
        <v>800</v>
      </c>
      <c r="DY48" s="7">
        <v>100</v>
      </c>
      <c r="DZ48" s="1"/>
      <c r="EA48" s="1"/>
      <c r="EB48" s="1"/>
      <c r="EC48" s="1" t="s">
        <v>111</v>
      </c>
      <c r="ED48" s="1" t="s">
        <v>112</v>
      </c>
      <c r="EE48" s="1">
        <v>1</v>
      </c>
      <c r="EF48" s="1">
        <v>1</v>
      </c>
      <c r="EG48" s="1" t="s">
        <v>113</v>
      </c>
      <c r="EH48" s="1" t="s">
        <v>114</v>
      </c>
      <c r="EI48" s="1" t="s">
        <v>111</v>
      </c>
      <c r="EJ48" s="1" t="s">
        <v>114</v>
      </c>
      <c r="EK48" s="1">
        <v>6</v>
      </c>
      <c r="EL48" s="1">
        <v>5</v>
      </c>
    </row>
    <row r="49" spans="1:142" x14ac:dyDescent="0.25">
      <c r="A49" s="5">
        <v>45</v>
      </c>
      <c r="B49" s="17" t="s">
        <v>206</v>
      </c>
      <c r="C49" s="1" t="s">
        <v>207</v>
      </c>
      <c r="D49" s="35">
        <v>45370</v>
      </c>
      <c r="E49" s="1">
        <v>2</v>
      </c>
      <c r="F49" s="36">
        <v>1</v>
      </c>
      <c r="G49" s="1">
        <v>1</v>
      </c>
      <c r="H49" s="1">
        <v>50</v>
      </c>
      <c r="I49" s="1">
        <v>0</v>
      </c>
      <c r="J49" s="1">
        <v>25</v>
      </c>
      <c r="K49" s="1">
        <v>0</v>
      </c>
      <c r="L49" s="1">
        <f t="shared" si="0"/>
        <v>0</v>
      </c>
      <c r="M49" s="1" t="s">
        <v>107</v>
      </c>
      <c r="N49" s="1" t="s">
        <v>109</v>
      </c>
      <c r="O49" s="1" t="s">
        <v>117</v>
      </c>
      <c r="P49" s="1" t="s">
        <v>110</v>
      </c>
      <c r="Q49" s="1" t="s">
        <v>110</v>
      </c>
      <c r="R49" s="7">
        <v>1</v>
      </c>
      <c r="S49" s="1">
        <v>3</v>
      </c>
      <c r="T49" s="1">
        <v>0</v>
      </c>
      <c r="U49" s="1"/>
      <c r="V49" s="1"/>
      <c r="W49" s="1"/>
      <c r="X49" s="1"/>
      <c r="Y49" s="1"/>
      <c r="Z49" s="3"/>
      <c r="AA49" s="3"/>
      <c r="AB49" s="3"/>
      <c r="AC49" s="3"/>
      <c r="AD49" s="3">
        <v>1</v>
      </c>
      <c r="AE49" s="3">
        <v>2</v>
      </c>
      <c r="AF49" s="1"/>
      <c r="AG49" s="1"/>
      <c r="AH49" s="1"/>
      <c r="AI49" s="1"/>
      <c r="AJ49" s="1"/>
      <c r="AK49" s="1"/>
      <c r="AL49" s="1"/>
      <c r="AM49" s="1"/>
      <c r="AN49" s="1">
        <v>10</v>
      </c>
      <c r="AO49" s="7">
        <v>3</v>
      </c>
      <c r="AP49" s="7">
        <f t="shared" si="10"/>
        <v>0.30000000000000004</v>
      </c>
      <c r="AQ49" s="7">
        <f t="shared" si="1"/>
        <v>0</v>
      </c>
      <c r="AR49" s="7">
        <f t="shared" si="2"/>
        <v>0</v>
      </c>
      <c r="AS49" s="7">
        <f t="shared" si="3"/>
        <v>0</v>
      </c>
      <c r="AT49" s="7">
        <f t="shared" si="4"/>
        <v>0</v>
      </c>
      <c r="AU49" s="7">
        <f t="shared" si="5"/>
        <v>0</v>
      </c>
      <c r="AV49" s="7">
        <f t="shared" si="6"/>
        <v>9.9999999999999982</v>
      </c>
      <c r="AW49" s="7">
        <f t="shared" si="7"/>
        <v>19.999999999999996</v>
      </c>
      <c r="AX49" s="7">
        <f t="shared" si="8"/>
        <v>19.999999999999996</v>
      </c>
      <c r="AY49" s="7">
        <v>1</v>
      </c>
      <c r="AZ49" s="18">
        <v>10.666666666666666</v>
      </c>
      <c r="BA49" s="18">
        <v>32</v>
      </c>
      <c r="BB49" s="7">
        <v>0</v>
      </c>
      <c r="BC49" s="7">
        <v>52</v>
      </c>
      <c r="BD49" s="7">
        <f t="shared" si="9"/>
        <v>17.333333333333332</v>
      </c>
      <c r="BE49" s="7">
        <v>0</v>
      </c>
      <c r="BF49" s="1">
        <v>0</v>
      </c>
      <c r="BG49" s="7">
        <v>2960</v>
      </c>
      <c r="BH49" s="7">
        <v>30000</v>
      </c>
      <c r="BI49" s="7">
        <v>600</v>
      </c>
      <c r="BJ49" s="7">
        <v>12</v>
      </c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7">
        <v>2</v>
      </c>
      <c r="CV49" s="7">
        <v>2</v>
      </c>
      <c r="CW49" s="7">
        <v>0</v>
      </c>
      <c r="CX49" s="7">
        <v>8</v>
      </c>
      <c r="CY49" s="1">
        <v>4</v>
      </c>
      <c r="CZ49" s="1"/>
      <c r="DA49" s="7">
        <v>1</v>
      </c>
      <c r="DB49" s="1"/>
      <c r="DC49" s="1"/>
      <c r="DD49" s="1"/>
      <c r="DE49" s="1"/>
      <c r="DF49" s="1">
        <v>1</v>
      </c>
      <c r="DG49" s="1"/>
      <c r="DH49" s="1"/>
      <c r="DI49" s="1"/>
      <c r="DJ49" s="1">
        <v>1</v>
      </c>
      <c r="DK49" s="1"/>
      <c r="DL49" s="1"/>
      <c r="DM49" s="1">
        <v>1</v>
      </c>
      <c r="DN49" s="1"/>
      <c r="DO49" s="1"/>
      <c r="DP49" s="1"/>
      <c r="DQ49" s="1">
        <v>1</v>
      </c>
      <c r="DR49" s="1"/>
      <c r="DS49" s="1"/>
      <c r="DT49" s="7">
        <v>3</v>
      </c>
      <c r="DU49" s="7">
        <v>2</v>
      </c>
      <c r="DV49" s="1"/>
      <c r="DW49" s="1"/>
      <c r="DX49" s="7">
        <v>600</v>
      </c>
      <c r="DY49" s="7">
        <v>2800</v>
      </c>
      <c r="DZ49" s="1"/>
      <c r="EA49" s="1"/>
      <c r="EB49" s="1"/>
      <c r="EC49" s="1" t="s">
        <v>111</v>
      </c>
      <c r="ED49" s="1" t="s">
        <v>112</v>
      </c>
      <c r="EE49" s="1">
        <v>1</v>
      </c>
      <c r="EF49" s="1">
        <v>1</v>
      </c>
      <c r="EG49" s="1" t="s">
        <v>113</v>
      </c>
      <c r="EH49" s="1" t="s">
        <v>114</v>
      </c>
      <c r="EI49" s="1" t="s">
        <v>111</v>
      </c>
      <c r="EJ49" s="1" t="s">
        <v>114</v>
      </c>
      <c r="EK49" s="1">
        <v>5</v>
      </c>
      <c r="EL49" s="1">
        <v>4</v>
      </c>
    </row>
    <row r="50" spans="1:142" x14ac:dyDescent="0.25">
      <c r="A50" s="5">
        <v>46</v>
      </c>
      <c r="B50" s="17" t="s">
        <v>208</v>
      </c>
      <c r="C50" s="1" t="s">
        <v>209</v>
      </c>
      <c r="D50" s="35">
        <v>45370</v>
      </c>
      <c r="E50" s="1">
        <v>4</v>
      </c>
      <c r="F50" s="36">
        <v>1</v>
      </c>
      <c r="G50" s="1">
        <v>1</v>
      </c>
      <c r="H50" s="1">
        <v>38</v>
      </c>
      <c r="I50" s="1">
        <v>13</v>
      </c>
      <c r="J50" s="1">
        <v>7</v>
      </c>
      <c r="K50" s="1">
        <v>12</v>
      </c>
      <c r="L50" s="1">
        <f t="shared" si="0"/>
        <v>4</v>
      </c>
      <c r="M50" s="1" t="s">
        <v>107</v>
      </c>
      <c r="N50" s="1" t="s">
        <v>120</v>
      </c>
      <c r="O50" s="1" t="s">
        <v>109</v>
      </c>
      <c r="P50" s="1" t="s">
        <v>110</v>
      </c>
      <c r="Q50" s="1" t="s">
        <v>110</v>
      </c>
      <c r="R50" s="7">
        <v>3</v>
      </c>
      <c r="S50" s="1">
        <v>5</v>
      </c>
      <c r="T50" s="1">
        <v>0.50575000000000003</v>
      </c>
      <c r="U50" s="1"/>
      <c r="V50" s="1"/>
      <c r="W50" s="1"/>
      <c r="X50" s="1"/>
      <c r="Y50" s="1"/>
      <c r="Z50" s="3"/>
      <c r="AA50" s="3">
        <v>1</v>
      </c>
      <c r="AB50" s="3"/>
      <c r="AC50" s="3"/>
      <c r="AD50" s="3">
        <v>1</v>
      </c>
      <c r="AE50" s="3">
        <v>3</v>
      </c>
      <c r="AF50" s="1"/>
      <c r="AG50" s="1">
        <v>1</v>
      </c>
      <c r="AH50" s="1"/>
      <c r="AI50" s="1"/>
      <c r="AJ50" s="1"/>
      <c r="AK50" s="1"/>
      <c r="AL50" s="1"/>
      <c r="AM50" s="1"/>
      <c r="AN50" s="1">
        <v>10</v>
      </c>
      <c r="AO50" s="7">
        <v>5</v>
      </c>
      <c r="AP50" s="7">
        <f t="shared" si="10"/>
        <v>0.43000000000000005</v>
      </c>
      <c r="AQ50" s="7">
        <f t="shared" si="1"/>
        <v>6.9767441860465098</v>
      </c>
      <c r="AR50" s="7">
        <f t="shared" si="2"/>
        <v>0</v>
      </c>
      <c r="AS50" s="7">
        <f t="shared" si="3"/>
        <v>0.2</v>
      </c>
      <c r="AT50" s="7">
        <f t="shared" si="4"/>
        <v>0</v>
      </c>
      <c r="AU50" s="7">
        <f t="shared" si="5"/>
        <v>0</v>
      </c>
      <c r="AV50" s="7">
        <f t="shared" si="6"/>
        <v>6.9767441860465098</v>
      </c>
      <c r="AW50" s="7">
        <f t="shared" si="7"/>
        <v>20.930232558139529</v>
      </c>
      <c r="AX50" s="7">
        <f t="shared" si="8"/>
        <v>27.906976744186039</v>
      </c>
      <c r="AY50" s="7">
        <v>0.8</v>
      </c>
      <c r="AZ50" s="18">
        <v>12</v>
      </c>
      <c r="BA50" s="18">
        <v>60</v>
      </c>
      <c r="BB50" s="7">
        <v>0.25</v>
      </c>
      <c r="BC50" s="7">
        <v>90</v>
      </c>
      <c r="BD50" s="7">
        <f t="shared" si="9"/>
        <v>18</v>
      </c>
      <c r="BE50" s="7">
        <v>0</v>
      </c>
      <c r="BF50" s="1">
        <v>0</v>
      </c>
      <c r="BG50" s="7">
        <v>6920</v>
      </c>
      <c r="BH50" s="7">
        <v>15000</v>
      </c>
      <c r="BI50" s="7">
        <v>1000</v>
      </c>
      <c r="BJ50" s="7">
        <v>20</v>
      </c>
      <c r="BK50" s="1"/>
      <c r="BL50" s="1"/>
      <c r="BM50" s="1"/>
      <c r="BN50" s="1"/>
      <c r="BO50" s="1"/>
      <c r="BP50" s="1"/>
      <c r="BQ50" s="1"/>
      <c r="BR50" s="1"/>
      <c r="BS50" s="1"/>
      <c r="BT50" s="1">
        <v>1</v>
      </c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>
        <v>1</v>
      </c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7">
        <v>2</v>
      </c>
      <c r="CV50" s="7">
        <v>2</v>
      </c>
      <c r="CW50" s="7">
        <v>0</v>
      </c>
      <c r="CX50" s="7">
        <v>8</v>
      </c>
      <c r="CY50" s="1">
        <v>2</v>
      </c>
      <c r="CZ50" s="1"/>
      <c r="DA50" s="7">
        <v>1</v>
      </c>
      <c r="DB50" s="1"/>
      <c r="DC50" s="1"/>
      <c r="DD50" s="1"/>
      <c r="DE50" s="1"/>
      <c r="DF50" s="1">
        <v>1</v>
      </c>
      <c r="DG50" s="1"/>
      <c r="DH50" s="1"/>
      <c r="DI50" s="1"/>
      <c r="DJ50" s="1">
        <v>1</v>
      </c>
      <c r="DK50" s="1"/>
      <c r="DL50" s="1"/>
      <c r="DM50" s="1">
        <v>1</v>
      </c>
      <c r="DN50" s="1"/>
      <c r="DO50" s="1"/>
      <c r="DP50" s="1"/>
      <c r="DQ50" s="1">
        <v>1</v>
      </c>
      <c r="DR50" s="1"/>
      <c r="DS50" s="1"/>
      <c r="DT50" s="7">
        <v>3</v>
      </c>
      <c r="DU50" s="7">
        <v>3</v>
      </c>
      <c r="DV50" s="1"/>
      <c r="DW50" s="1"/>
      <c r="DX50" s="7">
        <v>1000</v>
      </c>
      <c r="DY50" s="7">
        <v>1100</v>
      </c>
      <c r="DZ50" s="1"/>
      <c r="EA50" s="1"/>
      <c r="EB50" s="1"/>
      <c r="EC50" s="1" t="s">
        <v>111</v>
      </c>
      <c r="ED50" s="1" t="s">
        <v>112</v>
      </c>
      <c r="EE50" s="1">
        <v>1</v>
      </c>
      <c r="EF50" s="1">
        <v>1</v>
      </c>
      <c r="EG50" s="1" t="s">
        <v>113</v>
      </c>
      <c r="EH50" s="1" t="s">
        <v>114</v>
      </c>
      <c r="EI50" s="1" t="s">
        <v>111</v>
      </c>
      <c r="EJ50" s="1" t="s">
        <v>114</v>
      </c>
      <c r="EK50" s="1">
        <v>5</v>
      </c>
      <c r="EL50" s="1">
        <v>4</v>
      </c>
    </row>
    <row r="51" spans="1:142" x14ac:dyDescent="0.25">
      <c r="A51" s="5">
        <v>47</v>
      </c>
      <c r="B51" s="17" t="s">
        <v>210</v>
      </c>
      <c r="C51" s="1" t="s">
        <v>211</v>
      </c>
      <c r="D51" s="35">
        <v>45370</v>
      </c>
      <c r="E51" s="1">
        <v>4</v>
      </c>
      <c r="F51" s="36"/>
      <c r="G51" s="1">
        <v>1</v>
      </c>
      <c r="H51" s="1">
        <v>50</v>
      </c>
      <c r="I51" s="1">
        <v>40</v>
      </c>
      <c r="J51" s="1">
        <v>37</v>
      </c>
      <c r="K51" s="1">
        <v>0</v>
      </c>
      <c r="L51" s="1">
        <f t="shared" si="0"/>
        <v>0</v>
      </c>
      <c r="M51" s="1" t="s">
        <v>107</v>
      </c>
      <c r="N51" s="1" t="s">
        <v>141</v>
      </c>
      <c r="O51" s="1" t="s">
        <v>109</v>
      </c>
      <c r="P51" s="1" t="s">
        <v>110</v>
      </c>
      <c r="Q51" s="1" t="s">
        <v>110</v>
      </c>
      <c r="R51" s="7">
        <v>3</v>
      </c>
      <c r="S51" s="1">
        <v>4</v>
      </c>
      <c r="T51" s="1">
        <v>0</v>
      </c>
      <c r="U51" s="1"/>
      <c r="V51" s="1"/>
      <c r="W51" s="1"/>
      <c r="X51" s="1"/>
      <c r="Y51" s="1"/>
      <c r="Z51" s="3"/>
      <c r="AA51" s="3">
        <v>1</v>
      </c>
      <c r="AB51" s="3"/>
      <c r="AC51" s="3"/>
      <c r="AD51" s="3"/>
      <c r="AE51" s="3">
        <v>4</v>
      </c>
      <c r="AF51" s="1"/>
      <c r="AG51" s="1">
        <v>1</v>
      </c>
      <c r="AH51" s="1"/>
      <c r="AI51" s="1"/>
      <c r="AJ51" s="1"/>
      <c r="AK51" s="1"/>
      <c r="AL51" s="1"/>
      <c r="AM51" s="1"/>
      <c r="AN51" s="1">
        <v>10</v>
      </c>
      <c r="AO51" s="7">
        <v>5</v>
      </c>
      <c r="AP51" s="7">
        <f t="shared" si="10"/>
        <v>0.43000000000000005</v>
      </c>
      <c r="AQ51" s="7">
        <f t="shared" si="1"/>
        <v>6.9767441860465098</v>
      </c>
      <c r="AR51" s="7">
        <f t="shared" si="2"/>
        <v>0</v>
      </c>
      <c r="AS51" s="7">
        <f t="shared" si="3"/>
        <v>0.2</v>
      </c>
      <c r="AT51" s="7">
        <f t="shared" si="4"/>
        <v>0</v>
      </c>
      <c r="AU51" s="7">
        <f t="shared" si="5"/>
        <v>0</v>
      </c>
      <c r="AV51" s="7">
        <f t="shared" si="6"/>
        <v>0</v>
      </c>
      <c r="AW51" s="7">
        <f t="shared" si="7"/>
        <v>27.906976744186039</v>
      </c>
      <c r="AX51" s="7">
        <f t="shared" si="8"/>
        <v>34.883720930232556</v>
      </c>
      <c r="AY51" s="7">
        <v>0.8</v>
      </c>
      <c r="AZ51" s="18">
        <v>12</v>
      </c>
      <c r="BA51" s="18">
        <v>60</v>
      </c>
      <c r="BB51" s="7">
        <v>0.25</v>
      </c>
      <c r="BC51" s="7">
        <v>88</v>
      </c>
      <c r="BD51" s="7">
        <f t="shared" si="9"/>
        <v>17.600000000000001</v>
      </c>
      <c r="BE51" s="5">
        <v>0</v>
      </c>
      <c r="BF51" s="1">
        <v>0</v>
      </c>
      <c r="BG51" s="7">
        <v>6430</v>
      </c>
      <c r="BH51" s="7">
        <v>15000</v>
      </c>
      <c r="BI51" s="7">
        <v>1000</v>
      </c>
      <c r="BJ51" s="7">
        <v>20</v>
      </c>
      <c r="BK51" s="1"/>
      <c r="BL51" s="1"/>
      <c r="BM51" s="1"/>
      <c r="BN51" s="1"/>
      <c r="BO51" s="1"/>
      <c r="BP51" s="1"/>
      <c r="BQ51" s="1"/>
      <c r="BR51" s="1"/>
      <c r="BS51" s="1"/>
      <c r="BT51" s="1">
        <v>1</v>
      </c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7">
        <v>2</v>
      </c>
      <c r="CV51" s="7">
        <v>2</v>
      </c>
      <c r="CW51" s="7">
        <v>0</v>
      </c>
      <c r="CX51" s="7">
        <v>8</v>
      </c>
      <c r="CY51" s="1">
        <v>2</v>
      </c>
      <c r="CZ51" s="1"/>
      <c r="DA51" s="7">
        <v>1</v>
      </c>
      <c r="DB51" s="1"/>
      <c r="DC51" s="1">
        <v>1</v>
      </c>
      <c r="DD51" s="1"/>
      <c r="DE51" s="1"/>
      <c r="DF51" s="1">
        <v>1</v>
      </c>
      <c r="DG51" s="1"/>
      <c r="DH51" s="1"/>
      <c r="DI51" s="1"/>
      <c r="DJ51" s="1">
        <v>1</v>
      </c>
      <c r="DK51" s="1"/>
      <c r="DL51" s="1"/>
      <c r="DM51" s="1">
        <v>1</v>
      </c>
      <c r="DN51" s="1"/>
      <c r="DO51" s="1">
        <v>1</v>
      </c>
      <c r="DP51" s="1"/>
      <c r="DQ51" s="1">
        <v>1</v>
      </c>
      <c r="DR51" s="1"/>
      <c r="DS51" s="1"/>
      <c r="DT51" s="7">
        <v>3</v>
      </c>
      <c r="DU51" s="7">
        <v>2</v>
      </c>
      <c r="DV51" s="1"/>
      <c r="DW51" s="1"/>
      <c r="DX51" s="7">
        <v>800</v>
      </c>
      <c r="DY51" s="7">
        <v>1800</v>
      </c>
      <c r="DZ51" s="1"/>
      <c r="EA51" s="1"/>
      <c r="EB51" s="1"/>
      <c r="EC51" s="1" t="s">
        <v>111</v>
      </c>
      <c r="ED51" s="1" t="s">
        <v>112</v>
      </c>
      <c r="EE51" s="1">
        <v>1</v>
      </c>
      <c r="EF51" s="1">
        <v>1</v>
      </c>
      <c r="EG51" s="1" t="s">
        <v>113</v>
      </c>
      <c r="EH51" s="1" t="s">
        <v>114</v>
      </c>
      <c r="EI51" s="1" t="s">
        <v>111</v>
      </c>
      <c r="EJ51" s="1" t="s">
        <v>114</v>
      </c>
      <c r="EK51" s="1">
        <v>5</v>
      </c>
      <c r="EL51" s="1">
        <v>4</v>
      </c>
    </row>
    <row r="52" spans="1:142" x14ac:dyDescent="0.25">
      <c r="A52" s="5">
        <v>48</v>
      </c>
      <c r="B52" s="17" t="s">
        <v>212</v>
      </c>
      <c r="C52" s="1" t="s">
        <v>213</v>
      </c>
      <c r="D52" s="35">
        <v>45370</v>
      </c>
      <c r="E52" s="1">
        <v>2</v>
      </c>
      <c r="F52" s="36"/>
      <c r="G52" s="1">
        <v>1</v>
      </c>
      <c r="H52" s="1">
        <v>34</v>
      </c>
      <c r="I52" s="1">
        <v>0</v>
      </c>
      <c r="J52" s="1">
        <v>1</v>
      </c>
      <c r="K52" s="1">
        <v>13</v>
      </c>
      <c r="L52" s="1">
        <f t="shared" si="0"/>
        <v>5</v>
      </c>
      <c r="M52" s="1" t="s">
        <v>107</v>
      </c>
      <c r="N52" s="1" t="s">
        <v>174</v>
      </c>
      <c r="O52" s="1" t="s">
        <v>127</v>
      </c>
      <c r="P52" s="1" t="s">
        <v>110</v>
      </c>
      <c r="Q52" s="1" t="s">
        <v>110</v>
      </c>
      <c r="R52" s="7">
        <v>3</v>
      </c>
      <c r="S52" s="1">
        <v>2</v>
      </c>
      <c r="T52" s="1">
        <v>0.18966</v>
      </c>
      <c r="U52" s="1"/>
      <c r="V52" s="1"/>
      <c r="W52" s="1"/>
      <c r="X52" s="1"/>
      <c r="Y52" s="1"/>
      <c r="Z52" s="3">
        <v>1</v>
      </c>
      <c r="AA52" s="3">
        <v>1</v>
      </c>
      <c r="AB52" s="3"/>
      <c r="AC52" s="3"/>
      <c r="AD52" s="3"/>
      <c r="AE52" s="3">
        <v>2</v>
      </c>
      <c r="AF52" s="1"/>
      <c r="AG52" s="1"/>
      <c r="AH52" s="1"/>
      <c r="AI52" s="1"/>
      <c r="AJ52" s="1"/>
      <c r="AK52" s="1"/>
      <c r="AL52" s="1"/>
      <c r="AM52" s="1"/>
      <c r="AN52" s="1">
        <v>10</v>
      </c>
      <c r="AO52" s="7">
        <v>4</v>
      </c>
      <c r="AP52" s="7">
        <f t="shared" si="10"/>
        <v>0.26</v>
      </c>
      <c r="AQ52" s="7">
        <f t="shared" si="1"/>
        <v>23.076923076923077</v>
      </c>
      <c r="AR52" s="7">
        <f t="shared" si="2"/>
        <v>0.25</v>
      </c>
      <c r="AS52" s="7">
        <f t="shared" si="3"/>
        <v>0.25</v>
      </c>
      <c r="AT52" s="7">
        <f t="shared" si="4"/>
        <v>0</v>
      </c>
      <c r="AU52" s="7">
        <f t="shared" si="5"/>
        <v>0</v>
      </c>
      <c r="AV52" s="7">
        <f t="shared" si="6"/>
        <v>0</v>
      </c>
      <c r="AW52" s="7">
        <f t="shared" si="7"/>
        <v>23.076923076923077</v>
      </c>
      <c r="AX52" s="7">
        <f t="shared" si="8"/>
        <v>34.615384615384613</v>
      </c>
      <c r="AY52" s="7">
        <v>0.5</v>
      </c>
      <c r="AZ52" s="18">
        <v>8.5</v>
      </c>
      <c r="BA52" s="18">
        <v>34</v>
      </c>
      <c r="BB52" s="7">
        <v>1</v>
      </c>
      <c r="BC52" s="7">
        <v>51</v>
      </c>
      <c r="BD52" s="7">
        <f t="shared" si="9"/>
        <v>12.75</v>
      </c>
      <c r="BE52" s="5">
        <v>0</v>
      </c>
      <c r="BF52" s="1">
        <v>0</v>
      </c>
      <c r="BG52" s="7">
        <v>3190</v>
      </c>
      <c r="BH52" s="7">
        <v>30000</v>
      </c>
      <c r="BI52" s="7">
        <v>900</v>
      </c>
      <c r="BJ52" s="7">
        <v>18</v>
      </c>
      <c r="BK52" s="1"/>
      <c r="BL52" s="1"/>
      <c r="BM52" s="1"/>
      <c r="BN52" s="1"/>
      <c r="BO52" s="1"/>
      <c r="BP52" s="1"/>
      <c r="BQ52" s="1">
        <v>1</v>
      </c>
      <c r="BR52" s="1"/>
      <c r="BS52" s="1"/>
      <c r="BT52" s="1">
        <v>1</v>
      </c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7">
        <v>2</v>
      </c>
      <c r="CV52" s="7">
        <v>2</v>
      </c>
      <c r="CW52" s="7">
        <v>0</v>
      </c>
      <c r="CX52" s="7">
        <v>8</v>
      </c>
      <c r="CY52" s="1">
        <v>4</v>
      </c>
      <c r="CZ52" s="1"/>
      <c r="DA52" s="7">
        <v>1</v>
      </c>
      <c r="DB52" s="1"/>
      <c r="DC52" s="1">
        <v>1</v>
      </c>
      <c r="DD52" s="1"/>
      <c r="DE52" s="1"/>
      <c r="DF52" s="1">
        <v>1</v>
      </c>
      <c r="DG52" s="1"/>
      <c r="DH52" s="1"/>
      <c r="DI52" s="1"/>
      <c r="DJ52" s="1">
        <v>1</v>
      </c>
      <c r="DK52" s="1"/>
      <c r="DL52" s="1"/>
      <c r="DM52" s="1">
        <v>1</v>
      </c>
      <c r="DN52" s="1"/>
      <c r="DO52" s="1">
        <v>1</v>
      </c>
      <c r="DP52" s="1"/>
      <c r="DQ52" s="1">
        <v>1</v>
      </c>
      <c r="DR52" s="1"/>
      <c r="DS52" s="1"/>
      <c r="DT52" s="7">
        <v>3</v>
      </c>
      <c r="DU52" s="7">
        <v>2</v>
      </c>
      <c r="DV52" s="1"/>
      <c r="DW52" s="1"/>
      <c r="DX52" s="7">
        <v>700</v>
      </c>
      <c r="DY52" s="7">
        <v>1100</v>
      </c>
      <c r="DZ52" s="1"/>
      <c r="EA52" s="1"/>
      <c r="EB52" s="1"/>
      <c r="EC52" s="1" t="s">
        <v>111</v>
      </c>
      <c r="ED52" s="1" t="s">
        <v>112</v>
      </c>
      <c r="EE52" s="1">
        <v>1</v>
      </c>
      <c r="EF52" s="1">
        <v>1</v>
      </c>
      <c r="EG52" s="1" t="s">
        <v>113</v>
      </c>
      <c r="EH52" s="1" t="s">
        <v>114</v>
      </c>
      <c r="EI52" s="1" t="s">
        <v>111</v>
      </c>
      <c r="EJ52" s="1" t="s">
        <v>114</v>
      </c>
      <c r="EK52" s="1">
        <v>6</v>
      </c>
      <c r="EL52" s="1">
        <v>4</v>
      </c>
    </row>
    <row r="53" spans="1:142" x14ac:dyDescent="0.25">
      <c r="A53" s="5">
        <v>49</v>
      </c>
      <c r="B53" s="17" t="s">
        <v>214</v>
      </c>
      <c r="C53" s="1" t="s">
        <v>215</v>
      </c>
      <c r="D53" s="35">
        <v>45370</v>
      </c>
      <c r="E53" s="1">
        <v>2</v>
      </c>
      <c r="F53" s="36"/>
      <c r="G53" s="1">
        <v>1</v>
      </c>
      <c r="H53" s="1">
        <v>55</v>
      </c>
      <c r="I53" s="1">
        <v>2</v>
      </c>
      <c r="J53" s="1">
        <v>20</v>
      </c>
      <c r="K53" s="1">
        <v>0</v>
      </c>
      <c r="L53" s="1">
        <f t="shared" si="0"/>
        <v>0</v>
      </c>
      <c r="M53" s="1" t="s">
        <v>107</v>
      </c>
      <c r="N53" s="1" t="s">
        <v>108</v>
      </c>
      <c r="O53" s="1" t="s">
        <v>109</v>
      </c>
      <c r="P53" s="1" t="s">
        <v>110</v>
      </c>
      <c r="Q53" s="1" t="s">
        <v>110</v>
      </c>
      <c r="R53" s="7">
        <v>3</v>
      </c>
      <c r="S53" s="1">
        <v>4</v>
      </c>
      <c r="T53" s="1">
        <v>0.12644</v>
      </c>
      <c r="U53" s="1"/>
      <c r="V53" s="1"/>
      <c r="W53" s="1"/>
      <c r="X53" s="1"/>
      <c r="Y53" s="1"/>
      <c r="Z53" s="3">
        <v>1</v>
      </c>
      <c r="AA53" s="3">
        <v>1</v>
      </c>
      <c r="AB53" s="3"/>
      <c r="AC53" s="3"/>
      <c r="AD53" s="3"/>
      <c r="AE53" s="3">
        <v>2</v>
      </c>
      <c r="AF53" s="1"/>
      <c r="AG53" s="1">
        <v>1</v>
      </c>
      <c r="AH53" s="1"/>
      <c r="AI53" s="1"/>
      <c r="AJ53" s="1"/>
      <c r="AK53" s="1"/>
      <c r="AL53" s="1"/>
      <c r="AM53" s="1"/>
      <c r="AN53" s="1">
        <v>30</v>
      </c>
      <c r="AO53" s="7">
        <v>4</v>
      </c>
      <c r="AP53" s="7">
        <f t="shared" si="10"/>
        <v>0.26</v>
      </c>
      <c r="AQ53" s="7">
        <f t="shared" si="1"/>
        <v>23.076923076923077</v>
      </c>
      <c r="AR53" s="7">
        <f t="shared" si="2"/>
        <v>0.25</v>
      </c>
      <c r="AS53" s="7">
        <f t="shared" si="3"/>
        <v>0.25</v>
      </c>
      <c r="AT53" s="7">
        <f t="shared" si="4"/>
        <v>0</v>
      </c>
      <c r="AU53" s="7">
        <f t="shared" si="5"/>
        <v>0</v>
      </c>
      <c r="AV53" s="7">
        <f t="shared" si="6"/>
        <v>0</v>
      </c>
      <c r="AW53" s="7">
        <f t="shared" si="7"/>
        <v>23.076923076923077</v>
      </c>
      <c r="AX53" s="7">
        <f t="shared" si="8"/>
        <v>34.615384615384613</v>
      </c>
      <c r="AY53" s="7">
        <v>0.5</v>
      </c>
      <c r="AZ53" s="18">
        <v>9</v>
      </c>
      <c r="BA53" s="18">
        <v>36</v>
      </c>
      <c r="BB53" s="7">
        <v>1</v>
      </c>
      <c r="BC53" s="7">
        <v>53</v>
      </c>
      <c r="BD53" s="7">
        <f t="shared" si="9"/>
        <v>13.25</v>
      </c>
      <c r="BE53" s="5">
        <v>0</v>
      </c>
      <c r="BF53" s="1">
        <v>0</v>
      </c>
      <c r="BG53" s="7">
        <v>4110</v>
      </c>
      <c r="BH53" s="7">
        <v>15000</v>
      </c>
      <c r="BI53" s="7">
        <v>900</v>
      </c>
      <c r="BJ53" s="7">
        <v>18</v>
      </c>
      <c r="BK53" s="1"/>
      <c r="BL53" s="1"/>
      <c r="BM53" s="1"/>
      <c r="BN53" s="1"/>
      <c r="BO53" s="1"/>
      <c r="BP53" s="1"/>
      <c r="BQ53" s="1">
        <v>1</v>
      </c>
      <c r="BR53" s="1"/>
      <c r="BS53" s="1"/>
      <c r="BT53" s="1">
        <v>1</v>
      </c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7">
        <v>2</v>
      </c>
      <c r="CV53" s="7">
        <v>2</v>
      </c>
      <c r="CW53" s="7">
        <v>0</v>
      </c>
      <c r="CX53" s="7">
        <v>8</v>
      </c>
      <c r="CY53" s="1">
        <v>2</v>
      </c>
      <c r="CZ53" s="1"/>
      <c r="DA53" s="7">
        <v>1</v>
      </c>
      <c r="DB53" s="1"/>
      <c r="DC53" s="1"/>
      <c r="DD53" s="1"/>
      <c r="DE53" s="1"/>
      <c r="DF53" s="1">
        <v>1</v>
      </c>
      <c r="DG53" s="1"/>
      <c r="DH53" s="1"/>
      <c r="DI53" s="1"/>
      <c r="DJ53" s="1">
        <v>1</v>
      </c>
      <c r="DK53" s="1"/>
      <c r="DL53" s="1"/>
      <c r="DM53" s="1">
        <v>1</v>
      </c>
      <c r="DN53" s="1"/>
      <c r="DO53" s="1"/>
      <c r="DP53" s="1"/>
      <c r="DQ53" s="1">
        <v>1</v>
      </c>
      <c r="DR53" s="1"/>
      <c r="DS53" s="1"/>
      <c r="DT53" s="7">
        <v>3</v>
      </c>
      <c r="DU53" s="7">
        <v>1</v>
      </c>
      <c r="DV53" s="7">
        <v>114600</v>
      </c>
      <c r="DW53" s="1"/>
      <c r="DX53" s="7">
        <v>800</v>
      </c>
      <c r="DY53" s="7">
        <v>2500</v>
      </c>
      <c r="DZ53" s="1"/>
      <c r="EA53" s="1"/>
      <c r="EB53" s="1"/>
      <c r="EC53" s="1" t="s">
        <v>111</v>
      </c>
      <c r="ED53" s="1" t="s">
        <v>112</v>
      </c>
      <c r="EE53" s="1">
        <v>1</v>
      </c>
      <c r="EF53" s="1">
        <v>1</v>
      </c>
      <c r="EG53" s="1" t="s">
        <v>113</v>
      </c>
      <c r="EH53" s="1" t="s">
        <v>114</v>
      </c>
      <c r="EI53" s="1" t="s">
        <v>111</v>
      </c>
      <c r="EJ53" s="1" t="s">
        <v>114</v>
      </c>
      <c r="EK53" s="1">
        <v>6</v>
      </c>
      <c r="EL53" s="1">
        <v>5</v>
      </c>
    </row>
    <row r="54" spans="1:142" ht="16.5" customHeight="1" x14ac:dyDescent="0.25">
      <c r="A54" s="5">
        <v>50</v>
      </c>
      <c r="B54" s="37" t="s">
        <v>216</v>
      </c>
      <c r="C54" s="1" t="s">
        <v>217</v>
      </c>
      <c r="D54" s="35">
        <v>45370</v>
      </c>
      <c r="E54" s="1">
        <v>6</v>
      </c>
      <c r="F54" s="36">
        <v>2</v>
      </c>
      <c r="G54" s="1">
        <v>1</v>
      </c>
      <c r="H54" s="1">
        <v>35</v>
      </c>
      <c r="I54" s="1">
        <v>10</v>
      </c>
      <c r="J54" s="1">
        <v>7</v>
      </c>
      <c r="K54" s="1">
        <v>10</v>
      </c>
      <c r="L54" s="1">
        <f t="shared" si="0"/>
        <v>3</v>
      </c>
      <c r="M54" s="1" t="s">
        <v>107</v>
      </c>
      <c r="N54" s="1" t="s">
        <v>120</v>
      </c>
      <c r="O54" s="1" t="s">
        <v>109</v>
      </c>
      <c r="P54" s="1" t="s">
        <v>110</v>
      </c>
      <c r="Q54" s="1" t="s">
        <v>110</v>
      </c>
      <c r="R54" s="7">
        <v>3</v>
      </c>
      <c r="S54" s="1">
        <v>5</v>
      </c>
      <c r="T54" s="1">
        <v>0.37931999999999999</v>
      </c>
      <c r="U54" s="1"/>
      <c r="V54" s="1"/>
      <c r="W54" s="1"/>
      <c r="X54" s="1"/>
      <c r="Y54" s="1"/>
      <c r="Z54" s="3">
        <v>1</v>
      </c>
      <c r="AA54" s="3">
        <v>2</v>
      </c>
      <c r="AB54" s="3">
        <v>2</v>
      </c>
      <c r="AC54" s="3"/>
      <c r="AD54" s="3">
        <v>2</v>
      </c>
      <c r="AE54" s="3">
        <v>6</v>
      </c>
      <c r="AF54" s="1">
        <v>2</v>
      </c>
      <c r="AG54" s="1">
        <v>2</v>
      </c>
      <c r="AH54" s="1"/>
      <c r="AI54" s="1"/>
      <c r="AJ54" s="1"/>
      <c r="AK54" s="1"/>
      <c r="AL54" s="1">
        <v>8</v>
      </c>
      <c r="AM54" s="1">
        <v>10</v>
      </c>
      <c r="AN54" s="1">
        <v>25</v>
      </c>
      <c r="AO54" s="7">
        <v>13</v>
      </c>
      <c r="AP54" s="7">
        <f t="shared" si="10"/>
        <v>0.95000000000000007</v>
      </c>
      <c r="AQ54" s="7">
        <f t="shared" si="1"/>
        <v>9.473684210526315</v>
      </c>
      <c r="AR54" s="7">
        <f t="shared" si="2"/>
        <v>7.6923076923076927E-2</v>
      </c>
      <c r="AS54" s="7">
        <f t="shared" si="3"/>
        <v>0.15384615384615385</v>
      </c>
      <c r="AT54" s="7">
        <f t="shared" si="4"/>
        <v>6.3157894736842097</v>
      </c>
      <c r="AU54" s="7">
        <f t="shared" si="5"/>
        <v>0</v>
      </c>
      <c r="AV54" s="7">
        <f t="shared" si="6"/>
        <v>6.3157894736842097</v>
      </c>
      <c r="AW54" s="7">
        <f t="shared" si="7"/>
        <v>18.94736842105263</v>
      </c>
      <c r="AX54" s="7">
        <f t="shared" si="8"/>
        <v>25.263157894736839</v>
      </c>
      <c r="AY54" s="7">
        <v>0.61538400000000004</v>
      </c>
      <c r="AZ54" s="18">
        <v>11.153846153846153</v>
      </c>
      <c r="BA54" s="18">
        <v>145</v>
      </c>
      <c r="BB54" s="7">
        <v>0.66666666699999999</v>
      </c>
      <c r="BC54" s="7">
        <v>205</v>
      </c>
      <c r="BD54" s="7">
        <f t="shared" si="9"/>
        <v>15.76923076923077</v>
      </c>
      <c r="BE54" s="5">
        <v>0</v>
      </c>
      <c r="BF54" s="1">
        <v>0</v>
      </c>
      <c r="BG54" s="7">
        <v>15230</v>
      </c>
      <c r="BH54" s="7">
        <v>15000</v>
      </c>
      <c r="BI54" s="7">
        <v>2800</v>
      </c>
      <c r="BJ54" s="7">
        <v>56</v>
      </c>
      <c r="BK54" s="1"/>
      <c r="BL54" s="1"/>
      <c r="BM54" s="1"/>
      <c r="BN54" s="1"/>
      <c r="BO54" s="1"/>
      <c r="BP54" s="1"/>
      <c r="BQ54" s="1">
        <v>2</v>
      </c>
      <c r="BR54" s="1"/>
      <c r="BS54" s="1"/>
      <c r="BT54" s="1">
        <v>2</v>
      </c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7">
        <v>2</v>
      </c>
      <c r="CV54" s="7">
        <v>2</v>
      </c>
      <c r="CW54" s="7">
        <v>0</v>
      </c>
      <c r="CX54" s="7">
        <v>8</v>
      </c>
      <c r="CY54" s="1">
        <v>2</v>
      </c>
      <c r="CZ54" s="1"/>
      <c r="DA54" s="7">
        <v>1</v>
      </c>
      <c r="DB54" s="1"/>
      <c r="DC54" s="1"/>
      <c r="DD54" s="1"/>
      <c r="DE54" s="1"/>
      <c r="DF54" s="1">
        <v>1</v>
      </c>
      <c r="DG54" s="1"/>
      <c r="DH54" s="1"/>
      <c r="DI54" s="1"/>
      <c r="DJ54" s="1">
        <v>1</v>
      </c>
      <c r="DK54" s="1"/>
      <c r="DL54" s="1"/>
      <c r="DM54" s="1">
        <v>1</v>
      </c>
      <c r="DN54" s="1"/>
      <c r="DO54" s="1"/>
      <c r="DP54" s="1"/>
      <c r="DQ54" s="1">
        <v>1</v>
      </c>
      <c r="DR54" s="1"/>
      <c r="DS54" s="1"/>
      <c r="DT54" s="7">
        <v>3</v>
      </c>
      <c r="DU54" s="7">
        <v>2</v>
      </c>
      <c r="DV54" s="1"/>
      <c r="DW54" s="1"/>
      <c r="DX54" s="7">
        <v>2000</v>
      </c>
      <c r="DY54" s="7">
        <v>2700</v>
      </c>
      <c r="DZ54" s="1"/>
      <c r="EA54" s="1"/>
      <c r="EB54" s="1"/>
      <c r="EC54" s="1" t="s">
        <v>111</v>
      </c>
      <c r="ED54" s="1" t="s">
        <v>112</v>
      </c>
      <c r="EE54" s="1">
        <v>1</v>
      </c>
      <c r="EF54" s="1">
        <v>1</v>
      </c>
      <c r="EG54" s="1" t="s">
        <v>113</v>
      </c>
      <c r="EH54" s="1" t="s">
        <v>114</v>
      </c>
      <c r="EI54" s="1" t="s">
        <v>111</v>
      </c>
      <c r="EJ54" s="1" t="s">
        <v>114</v>
      </c>
      <c r="EK54" s="1">
        <v>6</v>
      </c>
      <c r="EL54" s="1">
        <v>4</v>
      </c>
    </row>
    <row r="55" spans="1:142" x14ac:dyDescent="0.25">
      <c r="A55" s="5">
        <v>51</v>
      </c>
      <c r="B55" s="17" t="s">
        <v>218</v>
      </c>
      <c r="C55" s="1" t="s">
        <v>219</v>
      </c>
      <c r="D55" s="35">
        <v>45470</v>
      </c>
      <c r="E55" s="1">
        <v>2</v>
      </c>
      <c r="F55" s="36"/>
      <c r="G55" s="1">
        <v>1</v>
      </c>
      <c r="H55" s="1">
        <v>54</v>
      </c>
      <c r="I55" s="1">
        <v>5</v>
      </c>
      <c r="J55" s="1">
        <v>1</v>
      </c>
      <c r="K55" s="1">
        <v>0</v>
      </c>
      <c r="L55" s="1">
        <f t="shared" si="0"/>
        <v>0</v>
      </c>
      <c r="M55" s="1" t="s">
        <v>107</v>
      </c>
      <c r="N55" s="1" t="s">
        <v>120</v>
      </c>
      <c r="O55" s="1" t="s">
        <v>144</v>
      </c>
      <c r="P55" s="1" t="s">
        <v>110</v>
      </c>
      <c r="Q55" s="1" t="s">
        <v>110</v>
      </c>
      <c r="R55" s="7">
        <v>1</v>
      </c>
      <c r="S55" s="1">
        <v>6</v>
      </c>
      <c r="T55" s="1">
        <v>0</v>
      </c>
      <c r="U55" s="1"/>
      <c r="V55" s="1"/>
      <c r="W55" s="1"/>
      <c r="X55" s="1"/>
      <c r="Y55" s="1"/>
      <c r="Z55" s="3"/>
      <c r="AA55" s="3"/>
      <c r="AB55" s="3"/>
      <c r="AC55" s="3">
        <v>2</v>
      </c>
      <c r="AD55" s="3"/>
      <c r="AE55" s="3"/>
      <c r="AF55" s="1"/>
      <c r="AG55" s="1">
        <v>1</v>
      </c>
      <c r="AH55" s="1"/>
      <c r="AI55" s="1"/>
      <c r="AJ55" s="1"/>
      <c r="AK55" s="1"/>
      <c r="AL55" s="1"/>
      <c r="AM55" s="1"/>
      <c r="AN55" s="7">
        <v>6</v>
      </c>
      <c r="AO55" s="7">
        <v>2</v>
      </c>
      <c r="AP55" s="7">
        <f t="shared" si="10"/>
        <v>0.06</v>
      </c>
      <c r="AQ55" s="7">
        <f t="shared" si="1"/>
        <v>0</v>
      </c>
      <c r="AR55" s="7">
        <f t="shared" si="2"/>
        <v>0</v>
      </c>
      <c r="AS55" s="7">
        <f t="shared" si="3"/>
        <v>0</v>
      </c>
      <c r="AT55" s="7">
        <f t="shared" si="4"/>
        <v>0</v>
      </c>
      <c r="AU55" s="7">
        <f t="shared" si="5"/>
        <v>100</v>
      </c>
      <c r="AV55" s="7">
        <f t="shared" si="6"/>
        <v>0</v>
      </c>
      <c r="AW55" s="7">
        <f t="shared" si="7"/>
        <v>0</v>
      </c>
      <c r="AX55" s="7">
        <f t="shared" si="8"/>
        <v>100</v>
      </c>
      <c r="AY55" s="7">
        <v>1</v>
      </c>
      <c r="AZ55" s="18">
        <v>11</v>
      </c>
      <c r="BA55" s="18">
        <v>22</v>
      </c>
      <c r="BB55" s="7">
        <v>0</v>
      </c>
      <c r="BC55" s="7">
        <v>30</v>
      </c>
      <c r="BD55" s="7">
        <f t="shared" si="9"/>
        <v>15</v>
      </c>
      <c r="BE55" s="5">
        <v>0</v>
      </c>
      <c r="BF55" s="1">
        <v>0</v>
      </c>
      <c r="BG55" s="7">
        <v>1830</v>
      </c>
      <c r="BH55" s="7">
        <v>15000</v>
      </c>
      <c r="BI55" s="7">
        <v>400</v>
      </c>
      <c r="BJ55" s="7">
        <v>8</v>
      </c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7">
        <v>2</v>
      </c>
      <c r="CV55" s="7">
        <v>2</v>
      </c>
      <c r="CW55" s="7">
        <v>0</v>
      </c>
      <c r="CX55" s="7">
        <v>8</v>
      </c>
      <c r="CY55" s="1">
        <v>2</v>
      </c>
      <c r="CZ55" s="1"/>
      <c r="DA55" s="7">
        <v>1</v>
      </c>
      <c r="DB55" s="1"/>
      <c r="DC55" s="1">
        <v>1</v>
      </c>
      <c r="DD55" s="1"/>
      <c r="DE55" s="1"/>
      <c r="DF55" s="1">
        <v>1</v>
      </c>
      <c r="DG55" s="1"/>
      <c r="DH55" s="1"/>
      <c r="DI55" s="1"/>
      <c r="DJ55" s="1">
        <v>1</v>
      </c>
      <c r="DK55" s="1"/>
      <c r="DL55" s="1"/>
      <c r="DM55" s="1">
        <v>1</v>
      </c>
      <c r="DN55" s="1"/>
      <c r="DO55" s="1">
        <v>1</v>
      </c>
      <c r="DP55" s="1"/>
      <c r="DQ55" s="1">
        <v>1</v>
      </c>
      <c r="DR55" s="1"/>
      <c r="DS55" s="1"/>
      <c r="DT55" s="7">
        <v>3</v>
      </c>
      <c r="DU55" s="7">
        <v>1</v>
      </c>
      <c r="DV55" s="7">
        <v>116000</v>
      </c>
      <c r="DW55" s="1"/>
      <c r="DX55" s="7">
        <v>400</v>
      </c>
      <c r="DY55" s="7">
        <v>700</v>
      </c>
      <c r="DZ55" s="1"/>
      <c r="EA55" s="1"/>
      <c r="EB55" s="1"/>
      <c r="EC55" s="1" t="s">
        <v>111</v>
      </c>
      <c r="ED55" s="1" t="s">
        <v>112</v>
      </c>
      <c r="EE55" s="1">
        <v>1</v>
      </c>
      <c r="EF55" s="1">
        <v>1</v>
      </c>
      <c r="EG55" s="1" t="s">
        <v>113</v>
      </c>
      <c r="EH55" s="1" t="s">
        <v>114</v>
      </c>
      <c r="EI55" s="1" t="s">
        <v>111</v>
      </c>
      <c r="EJ55" s="1" t="s">
        <v>114</v>
      </c>
      <c r="EK55" s="1">
        <v>5</v>
      </c>
      <c r="EL55" s="1">
        <v>5</v>
      </c>
    </row>
    <row r="56" spans="1:142" x14ac:dyDescent="0.25">
      <c r="A56" s="5">
        <v>52</v>
      </c>
      <c r="B56" s="17" t="s">
        <v>210</v>
      </c>
      <c r="C56" s="1" t="s">
        <v>220</v>
      </c>
      <c r="D56" s="35">
        <v>45470</v>
      </c>
      <c r="E56" s="1">
        <v>2</v>
      </c>
      <c r="F56" s="36"/>
      <c r="G56" s="1">
        <v>1</v>
      </c>
      <c r="H56" s="1">
        <v>26</v>
      </c>
      <c r="I56" s="1">
        <v>2</v>
      </c>
      <c r="J56" s="1">
        <v>5</v>
      </c>
      <c r="K56" s="1">
        <v>10</v>
      </c>
      <c r="L56" s="1">
        <f t="shared" si="0"/>
        <v>3</v>
      </c>
      <c r="M56" s="1" t="s">
        <v>107</v>
      </c>
      <c r="N56" s="1" t="s">
        <v>108</v>
      </c>
      <c r="O56" s="1" t="s">
        <v>109</v>
      </c>
      <c r="P56" s="1" t="s">
        <v>110</v>
      </c>
      <c r="Q56" s="1" t="s">
        <v>110</v>
      </c>
      <c r="R56" s="7">
        <v>3</v>
      </c>
      <c r="S56" s="1">
        <v>4</v>
      </c>
      <c r="T56" s="1">
        <v>2.5288000000000001E-2</v>
      </c>
      <c r="U56" s="1"/>
      <c r="V56" s="1"/>
      <c r="W56" s="1"/>
      <c r="X56" s="1"/>
      <c r="Y56" s="1"/>
      <c r="Z56" s="3"/>
      <c r="AA56" s="3"/>
      <c r="AB56" s="3"/>
      <c r="AC56" s="3">
        <v>1</v>
      </c>
      <c r="AD56" s="3"/>
      <c r="AE56" s="3"/>
      <c r="AF56" s="1"/>
      <c r="AG56" s="1">
        <v>1</v>
      </c>
      <c r="AH56" s="1"/>
      <c r="AI56" s="1"/>
      <c r="AJ56" s="1"/>
      <c r="AK56" s="1"/>
      <c r="AL56" s="1"/>
      <c r="AM56" s="1"/>
      <c r="AN56" s="7">
        <v>7</v>
      </c>
      <c r="AO56" s="7">
        <v>1</v>
      </c>
      <c r="AP56" s="7">
        <f t="shared" si="10"/>
        <v>0.03</v>
      </c>
      <c r="AQ56" s="7">
        <f t="shared" si="1"/>
        <v>0</v>
      </c>
      <c r="AR56" s="7">
        <f t="shared" si="2"/>
        <v>0</v>
      </c>
      <c r="AS56" s="7">
        <f t="shared" si="3"/>
        <v>0</v>
      </c>
      <c r="AT56" s="7">
        <f t="shared" si="4"/>
        <v>0</v>
      </c>
      <c r="AU56" s="7">
        <f t="shared" si="5"/>
        <v>100</v>
      </c>
      <c r="AV56" s="7">
        <f t="shared" si="6"/>
        <v>0</v>
      </c>
      <c r="AW56" s="7">
        <f t="shared" si="7"/>
        <v>0</v>
      </c>
      <c r="AX56" s="7">
        <f t="shared" si="8"/>
        <v>100</v>
      </c>
      <c r="AY56" s="7">
        <v>2</v>
      </c>
      <c r="AZ56" s="18">
        <v>11</v>
      </c>
      <c r="BA56" s="18">
        <v>11</v>
      </c>
      <c r="BB56" s="7">
        <v>0</v>
      </c>
      <c r="BC56" s="7">
        <v>13</v>
      </c>
      <c r="BD56" s="7">
        <f t="shared" si="9"/>
        <v>13</v>
      </c>
      <c r="BE56" s="5">
        <v>0</v>
      </c>
      <c r="BF56" s="1">
        <v>0</v>
      </c>
      <c r="BG56" s="7">
        <v>870</v>
      </c>
      <c r="BH56" s="7">
        <v>15000</v>
      </c>
      <c r="BI56" s="7">
        <v>200</v>
      </c>
      <c r="BJ56" s="7">
        <v>4</v>
      </c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>
        <v>1</v>
      </c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7">
        <v>2</v>
      </c>
      <c r="CV56" s="7">
        <v>2</v>
      </c>
      <c r="CW56" s="7">
        <v>0</v>
      </c>
      <c r="CX56" s="7">
        <v>8</v>
      </c>
      <c r="CY56" s="1">
        <v>2</v>
      </c>
      <c r="CZ56" s="1"/>
      <c r="DA56" s="7">
        <v>1</v>
      </c>
      <c r="DB56" s="1"/>
      <c r="DC56" s="1">
        <v>1</v>
      </c>
      <c r="DD56" s="1"/>
      <c r="DE56" s="1"/>
      <c r="DF56" s="1">
        <v>1</v>
      </c>
      <c r="DG56" s="1"/>
      <c r="DH56" s="1"/>
      <c r="DI56" s="1"/>
      <c r="DJ56" s="1">
        <v>1</v>
      </c>
      <c r="DK56" s="1"/>
      <c r="DL56" s="1"/>
      <c r="DM56" s="1">
        <v>1</v>
      </c>
      <c r="DN56" s="1"/>
      <c r="DO56" s="1">
        <v>1</v>
      </c>
      <c r="DP56" s="1"/>
      <c r="DQ56" s="1">
        <v>1</v>
      </c>
      <c r="DR56" s="1"/>
      <c r="DS56" s="1"/>
      <c r="DT56" s="7">
        <v>3</v>
      </c>
      <c r="DU56" s="7">
        <v>1</v>
      </c>
      <c r="DV56" s="7">
        <v>116400</v>
      </c>
      <c r="DW56" s="1"/>
      <c r="DX56" s="7">
        <v>200</v>
      </c>
      <c r="DY56" s="7">
        <v>1000</v>
      </c>
      <c r="DZ56" s="1"/>
      <c r="EA56" s="1"/>
      <c r="EB56" s="1"/>
      <c r="EC56" s="1" t="s">
        <v>111</v>
      </c>
      <c r="ED56" s="1" t="s">
        <v>112</v>
      </c>
      <c r="EE56" s="1">
        <v>1</v>
      </c>
      <c r="EF56" s="1">
        <v>1</v>
      </c>
      <c r="EG56" s="1" t="s">
        <v>113</v>
      </c>
      <c r="EH56" s="1" t="s">
        <v>114</v>
      </c>
      <c r="EI56" s="1" t="s">
        <v>111</v>
      </c>
      <c r="EJ56" s="1" t="s">
        <v>114</v>
      </c>
      <c r="EK56" s="1">
        <v>6</v>
      </c>
      <c r="EL56" s="1">
        <v>5</v>
      </c>
    </row>
    <row r="57" spans="1:142" x14ac:dyDescent="0.25">
      <c r="A57" s="5">
        <v>53</v>
      </c>
      <c r="B57" s="17" t="s">
        <v>151</v>
      </c>
      <c r="C57" s="1" t="s">
        <v>221</v>
      </c>
      <c r="D57" s="35">
        <v>45470</v>
      </c>
      <c r="E57" s="1">
        <v>2</v>
      </c>
      <c r="F57" s="36"/>
      <c r="G57" s="1">
        <v>1</v>
      </c>
      <c r="H57" s="1">
        <v>21</v>
      </c>
      <c r="I57" s="1">
        <v>3</v>
      </c>
      <c r="J57" s="1">
        <v>1</v>
      </c>
      <c r="K57" s="1">
        <v>12</v>
      </c>
      <c r="L57" s="1">
        <f t="shared" si="0"/>
        <v>4</v>
      </c>
      <c r="M57" s="1" t="s">
        <v>107</v>
      </c>
      <c r="N57" s="1" t="s">
        <v>144</v>
      </c>
      <c r="O57" s="1" t="s">
        <v>109</v>
      </c>
      <c r="P57" s="1" t="s">
        <v>110</v>
      </c>
      <c r="Q57" s="1" t="s">
        <v>110</v>
      </c>
      <c r="R57" s="7">
        <v>2</v>
      </c>
      <c r="S57" s="1">
        <v>5</v>
      </c>
      <c r="T57" s="1">
        <v>5.0576000000000003E-2</v>
      </c>
      <c r="U57" s="1"/>
      <c r="V57" s="1"/>
      <c r="W57" s="1"/>
      <c r="X57" s="1"/>
      <c r="Y57" s="1"/>
      <c r="Z57" s="3"/>
      <c r="AA57" s="3">
        <v>1</v>
      </c>
      <c r="AB57" s="3"/>
      <c r="AC57" s="3">
        <v>2</v>
      </c>
      <c r="AD57" s="3">
        <v>1</v>
      </c>
      <c r="AE57" s="3">
        <v>2</v>
      </c>
      <c r="AF57" s="1"/>
      <c r="AG57" s="1"/>
      <c r="AH57" s="1"/>
      <c r="AI57" s="1"/>
      <c r="AJ57" s="1"/>
      <c r="AK57" s="1"/>
      <c r="AL57" s="1"/>
      <c r="AM57" s="1"/>
      <c r="AN57" s="7">
        <v>6</v>
      </c>
      <c r="AO57" s="7">
        <v>6</v>
      </c>
      <c r="AP57" s="7">
        <f t="shared" si="10"/>
        <v>0.39</v>
      </c>
      <c r="AQ57" s="7">
        <f t="shared" si="1"/>
        <v>7.6923076923076916</v>
      </c>
      <c r="AR57" s="7">
        <f t="shared" si="2"/>
        <v>0</v>
      </c>
      <c r="AS57" s="7">
        <f t="shared" si="3"/>
        <v>0.16666666666666666</v>
      </c>
      <c r="AT57" s="7">
        <f t="shared" si="4"/>
        <v>0</v>
      </c>
      <c r="AU57" s="7">
        <f t="shared" si="5"/>
        <v>15.384615384615383</v>
      </c>
      <c r="AV57" s="7">
        <f t="shared" si="6"/>
        <v>7.6923076923076916</v>
      </c>
      <c r="AW57" s="7">
        <f t="shared" si="7"/>
        <v>15.384615384615383</v>
      </c>
      <c r="AX57" s="7">
        <f t="shared" si="8"/>
        <v>38.46153846153846</v>
      </c>
      <c r="AY57" s="7">
        <v>0.33333333330000003</v>
      </c>
      <c r="AZ57" s="18">
        <v>18.166666666666668</v>
      </c>
      <c r="BA57" s="18">
        <v>109</v>
      </c>
      <c r="BB57" s="7">
        <v>0.25</v>
      </c>
      <c r="BC57" s="7">
        <v>142</v>
      </c>
      <c r="BD57" s="7">
        <f t="shared" si="9"/>
        <v>23.666666666666668</v>
      </c>
      <c r="BE57" s="5">
        <v>2</v>
      </c>
      <c r="BF57" s="1">
        <v>662.5</v>
      </c>
      <c r="BG57" s="7">
        <v>9320</v>
      </c>
      <c r="BH57" s="7">
        <v>15000</v>
      </c>
      <c r="BI57" s="7">
        <v>1200</v>
      </c>
      <c r="BJ57" s="7">
        <v>24</v>
      </c>
      <c r="BK57" s="1"/>
      <c r="BL57" s="1"/>
      <c r="BM57" s="1">
        <v>1</v>
      </c>
      <c r="BN57" s="1"/>
      <c r="BO57" s="1"/>
      <c r="BP57" s="1">
        <v>2</v>
      </c>
      <c r="BQ57" s="1"/>
      <c r="BR57" s="1"/>
      <c r="BS57" s="1"/>
      <c r="BT57" s="1">
        <v>1</v>
      </c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7">
        <v>2</v>
      </c>
      <c r="CV57" s="7">
        <v>2</v>
      </c>
      <c r="CW57" s="7">
        <v>0</v>
      </c>
      <c r="CX57" s="7">
        <v>8</v>
      </c>
      <c r="CY57" s="1">
        <v>2</v>
      </c>
      <c r="CZ57" s="1"/>
      <c r="DA57" s="7">
        <v>1</v>
      </c>
      <c r="DB57" s="1"/>
      <c r="DC57" s="1">
        <v>1</v>
      </c>
      <c r="DD57" s="1"/>
      <c r="DE57" s="1"/>
      <c r="DF57" s="1">
        <v>1</v>
      </c>
      <c r="DG57" s="1"/>
      <c r="DH57" s="1"/>
      <c r="DI57" s="1"/>
      <c r="DJ57" s="1">
        <v>1</v>
      </c>
      <c r="DK57" s="1"/>
      <c r="DL57" s="1"/>
      <c r="DM57" s="1">
        <v>1</v>
      </c>
      <c r="DN57" s="1"/>
      <c r="DO57" s="1">
        <v>1</v>
      </c>
      <c r="DP57" s="1"/>
      <c r="DQ57" s="1">
        <v>1</v>
      </c>
      <c r="DR57" s="1"/>
      <c r="DS57" s="1"/>
      <c r="DT57" s="7">
        <v>3</v>
      </c>
      <c r="DU57" s="7">
        <v>1</v>
      </c>
      <c r="DV57" s="7">
        <v>106200</v>
      </c>
      <c r="DW57" s="1"/>
      <c r="DX57" s="7">
        <v>1100</v>
      </c>
      <c r="DY57" s="7">
        <v>1400</v>
      </c>
      <c r="DZ57" s="1"/>
      <c r="EA57" s="1"/>
      <c r="EB57" s="1"/>
      <c r="EC57" s="1" t="s">
        <v>111</v>
      </c>
      <c r="ED57" s="1" t="s">
        <v>112</v>
      </c>
      <c r="EE57" s="1">
        <v>1</v>
      </c>
      <c r="EF57" s="1">
        <v>1</v>
      </c>
      <c r="EG57" s="1" t="s">
        <v>113</v>
      </c>
      <c r="EH57" s="1" t="s">
        <v>114</v>
      </c>
      <c r="EI57" s="1" t="s">
        <v>111</v>
      </c>
      <c r="EJ57" s="1" t="s">
        <v>114</v>
      </c>
      <c r="EK57" s="1">
        <v>5</v>
      </c>
      <c r="EL57" s="1">
        <v>5</v>
      </c>
    </row>
    <row r="58" spans="1:142" x14ac:dyDescent="0.25">
      <c r="A58" s="5">
        <v>54</v>
      </c>
      <c r="B58" s="17" t="s">
        <v>222</v>
      </c>
      <c r="C58" s="1" t="s">
        <v>223</v>
      </c>
      <c r="D58" s="35">
        <v>45470</v>
      </c>
      <c r="E58" s="1">
        <v>2</v>
      </c>
      <c r="F58" s="36"/>
      <c r="G58" s="1">
        <v>1</v>
      </c>
      <c r="H58" s="1">
        <v>29</v>
      </c>
      <c r="I58" s="1">
        <v>10</v>
      </c>
      <c r="J58" s="1">
        <v>1</v>
      </c>
      <c r="K58" s="1">
        <v>10</v>
      </c>
      <c r="L58" s="1">
        <f t="shared" si="0"/>
        <v>3</v>
      </c>
      <c r="M58" s="1" t="s">
        <v>107</v>
      </c>
      <c r="N58" s="1" t="s">
        <v>120</v>
      </c>
      <c r="O58" s="1" t="s">
        <v>117</v>
      </c>
      <c r="P58" s="1" t="s">
        <v>110</v>
      </c>
      <c r="Q58" s="1" t="s">
        <v>110</v>
      </c>
      <c r="R58" s="7">
        <v>3</v>
      </c>
      <c r="S58" s="1">
        <v>3</v>
      </c>
      <c r="T58" s="1">
        <v>0</v>
      </c>
      <c r="U58" s="1"/>
      <c r="V58" s="1"/>
      <c r="W58" s="1"/>
      <c r="X58" s="1"/>
      <c r="Y58" s="1"/>
      <c r="Z58" s="3">
        <v>1</v>
      </c>
      <c r="AA58" s="3">
        <v>1</v>
      </c>
      <c r="AB58" s="3"/>
      <c r="AC58" s="3">
        <v>2</v>
      </c>
      <c r="AD58" s="3"/>
      <c r="AE58" s="3">
        <v>2</v>
      </c>
      <c r="AF58" s="1"/>
      <c r="AG58" s="1">
        <v>1</v>
      </c>
      <c r="AH58" s="1"/>
      <c r="AI58" s="1"/>
      <c r="AJ58" s="1"/>
      <c r="AK58" s="1"/>
      <c r="AL58" s="1"/>
      <c r="AM58" s="1"/>
      <c r="AN58" s="7">
        <v>5</v>
      </c>
      <c r="AO58" s="7">
        <v>6</v>
      </c>
      <c r="AP58" s="7">
        <f t="shared" si="10"/>
        <v>0.32</v>
      </c>
      <c r="AQ58" s="7">
        <f t="shared" si="1"/>
        <v>18.75</v>
      </c>
      <c r="AR58" s="7">
        <f t="shared" si="2"/>
        <v>0.16666666666666666</v>
      </c>
      <c r="AS58" s="7">
        <f t="shared" si="3"/>
        <v>0.16666666666666666</v>
      </c>
      <c r="AT58" s="7">
        <f t="shared" si="4"/>
        <v>0</v>
      </c>
      <c r="AU58" s="7">
        <f t="shared" si="5"/>
        <v>18.75</v>
      </c>
      <c r="AV58" s="7">
        <f t="shared" si="6"/>
        <v>0</v>
      </c>
      <c r="AW58" s="7">
        <f t="shared" si="7"/>
        <v>18.75</v>
      </c>
      <c r="AX58" s="7">
        <f t="shared" si="8"/>
        <v>46.875</v>
      </c>
      <c r="AY58" s="7">
        <v>0.33333333330000003</v>
      </c>
      <c r="AZ58" s="18">
        <v>12.833333333333334</v>
      </c>
      <c r="BA58" s="18">
        <v>77</v>
      </c>
      <c r="BB58" s="7">
        <v>0.5</v>
      </c>
      <c r="BC58" s="7">
        <v>114</v>
      </c>
      <c r="BD58" s="7">
        <f t="shared" si="9"/>
        <v>19</v>
      </c>
      <c r="BE58" s="5">
        <v>2</v>
      </c>
      <c r="BF58" s="1">
        <v>600</v>
      </c>
      <c r="BG58" s="7">
        <v>7500</v>
      </c>
      <c r="BH58" s="7">
        <v>30000</v>
      </c>
      <c r="BI58" s="7">
        <v>1300</v>
      </c>
      <c r="BJ58" s="7">
        <v>26</v>
      </c>
      <c r="BK58" s="1"/>
      <c r="BL58" s="1"/>
      <c r="BM58" s="1"/>
      <c r="BN58" s="1"/>
      <c r="BO58" s="1"/>
      <c r="BP58" s="1">
        <v>2</v>
      </c>
      <c r="BQ58" s="1">
        <v>1</v>
      </c>
      <c r="BR58" s="1"/>
      <c r="BS58" s="1"/>
      <c r="BT58" s="1">
        <v>1</v>
      </c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7">
        <v>2</v>
      </c>
      <c r="CV58" s="7">
        <v>2</v>
      </c>
      <c r="CW58" s="7">
        <v>0</v>
      </c>
      <c r="CX58" s="7">
        <v>8</v>
      </c>
      <c r="CY58" s="1">
        <v>4</v>
      </c>
      <c r="CZ58" s="1"/>
      <c r="DA58" s="7">
        <v>1</v>
      </c>
      <c r="DB58" s="1"/>
      <c r="DC58" s="1"/>
      <c r="DD58" s="1"/>
      <c r="DE58" s="1"/>
      <c r="DF58" s="1">
        <v>1</v>
      </c>
      <c r="DG58" s="1"/>
      <c r="DH58" s="1"/>
      <c r="DI58" s="1"/>
      <c r="DJ58" s="1">
        <v>1</v>
      </c>
      <c r="DK58" s="1"/>
      <c r="DL58" s="1"/>
      <c r="DM58" s="1">
        <v>1</v>
      </c>
      <c r="DN58" s="1"/>
      <c r="DO58" s="1"/>
      <c r="DP58" s="1"/>
      <c r="DQ58" s="1">
        <v>1</v>
      </c>
      <c r="DR58" s="1"/>
      <c r="DS58" s="1"/>
      <c r="DT58" s="7">
        <v>3</v>
      </c>
      <c r="DU58" s="7">
        <v>2</v>
      </c>
      <c r="DV58" s="1"/>
      <c r="DW58" s="1"/>
      <c r="DX58" s="7">
        <v>1000</v>
      </c>
      <c r="DY58" s="7">
        <v>900</v>
      </c>
      <c r="DZ58" s="1"/>
      <c r="EA58" s="1"/>
      <c r="EB58" s="1"/>
      <c r="EC58" s="1" t="s">
        <v>111</v>
      </c>
      <c r="ED58" s="1" t="s">
        <v>112</v>
      </c>
      <c r="EE58" s="1">
        <v>1</v>
      </c>
      <c r="EF58" s="1">
        <v>1</v>
      </c>
      <c r="EG58" s="1" t="s">
        <v>113</v>
      </c>
      <c r="EH58" s="1" t="s">
        <v>114</v>
      </c>
      <c r="EI58" s="1" t="s">
        <v>111</v>
      </c>
      <c r="EJ58" s="1" t="s">
        <v>114</v>
      </c>
      <c r="EK58" s="1">
        <v>5</v>
      </c>
      <c r="EL58" s="1">
        <v>5</v>
      </c>
    </row>
    <row r="59" spans="1:142" x14ac:dyDescent="0.25">
      <c r="A59" s="5">
        <v>55</v>
      </c>
      <c r="B59" s="17" t="s">
        <v>224</v>
      </c>
      <c r="C59" s="1" t="s">
        <v>225</v>
      </c>
      <c r="D59" s="35">
        <v>45470</v>
      </c>
      <c r="E59" s="1">
        <v>2</v>
      </c>
      <c r="F59" s="36"/>
      <c r="G59" s="1">
        <v>1</v>
      </c>
      <c r="H59" s="1">
        <v>45</v>
      </c>
      <c r="I59" s="1">
        <v>20</v>
      </c>
      <c r="J59" s="1">
        <v>1</v>
      </c>
      <c r="K59" s="1">
        <v>0</v>
      </c>
      <c r="L59" s="1">
        <f t="shared" si="0"/>
        <v>0</v>
      </c>
      <c r="M59" s="1" t="s">
        <v>107</v>
      </c>
      <c r="N59" s="1" t="s">
        <v>120</v>
      </c>
      <c r="O59" s="1" t="s">
        <v>141</v>
      </c>
      <c r="P59" s="1" t="s">
        <v>110</v>
      </c>
      <c r="Q59" s="1" t="s">
        <v>110</v>
      </c>
      <c r="R59" s="7">
        <v>3</v>
      </c>
      <c r="S59" s="1">
        <v>2</v>
      </c>
      <c r="T59" s="1">
        <v>0</v>
      </c>
      <c r="U59" s="1"/>
      <c r="V59" s="1"/>
      <c r="W59" s="1"/>
      <c r="X59" s="1"/>
      <c r="Y59" s="1"/>
      <c r="Z59" s="3"/>
      <c r="AA59" s="3"/>
      <c r="AB59" s="3"/>
      <c r="AC59" s="3">
        <v>2</v>
      </c>
      <c r="AD59" s="3"/>
      <c r="AE59" s="3"/>
      <c r="AF59" s="1"/>
      <c r="AG59" s="1"/>
      <c r="AH59" s="1"/>
      <c r="AI59" s="1"/>
      <c r="AJ59" s="1"/>
      <c r="AK59" s="1"/>
      <c r="AL59" s="1"/>
      <c r="AM59" s="1">
        <v>4</v>
      </c>
      <c r="AN59" s="7">
        <v>9</v>
      </c>
      <c r="AO59" s="7">
        <v>2</v>
      </c>
      <c r="AP59" s="7">
        <f t="shared" si="10"/>
        <v>0.06</v>
      </c>
      <c r="AQ59" s="7">
        <f t="shared" si="1"/>
        <v>0</v>
      </c>
      <c r="AR59" s="7">
        <f t="shared" si="2"/>
        <v>0</v>
      </c>
      <c r="AS59" s="7">
        <f t="shared" si="3"/>
        <v>0</v>
      </c>
      <c r="AT59" s="7">
        <f t="shared" si="4"/>
        <v>0</v>
      </c>
      <c r="AU59" s="7">
        <f t="shared" si="5"/>
        <v>100</v>
      </c>
      <c r="AV59" s="7">
        <f t="shared" si="6"/>
        <v>0</v>
      </c>
      <c r="AW59" s="7">
        <f t="shared" si="7"/>
        <v>0</v>
      </c>
      <c r="AX59" s="7">
        <f t="shared" si="8"/>
        <v>100</v>
      </c>
      <c r="AY59" s="7">
        <v>1</v>
      </c>
      <c r="AZ59" s="18">
        <v>11</v>
      </c>
      <c r="BA59" s="18">
        <v>22</v>
      </c>
      <c r="BB59" s="7">
        <v>0</v>
      </c>
      <c r="BC59" s="7">
        <v>29</v>
      </c>
      <c r="BD59" s="7">
        <f t="shared" si="9"/>
        <v>14.5</v>
      </c>
      <c r="BE59" s="5">
        <v>0</v>
      </c>
      <c r="BF59" s="1">
        <v>0</v>
      </c>
      <c r="BG59" s="7">
        <v>1980</v>
      </c>
      <c r="BH59" s="7">
        <v>30000</v>
      </c>
      <c r="BI59" s="7">
        <v>400</v>
      </c>
      <c r="BJ59" s="7">
        <v>8</v>
      </c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7">
        <v>2</v>
      </c>
      <c r="CV59" s="7">
        <v>2</v>
      </c>
      <c r="CW59" s="7">
        <v>0</v>
      </c>
      <c r="CX59" s="7">
        <v>8</v>
      </c>
      <c r="CY59" s="1">
        <v>4</v>
      </c>
      <c r="CZ59" s="1"/>
      <c r="DA59" s="7">
        <v>1</v>
      </c>
      <c r="DB59" s="1"/>
      <c r="DC59" s="1">
        <v>1</v>
      </c>
      <c r="DD59" s="1"/>
      <c r="DE59" s="1"/>
      <c r="DF59" s="1">
        <v>1</v>
      </c>
      <c r="DG59" s="1"/>
      <c r="DH59" s="1"/>
      <c r="DI59" s="1"/>
      <c r="DJ59" s="1">
        <v>1</v>
      </c>
      <c r="DK59" s="1"/>
      <c r="DL59" s="1"/>
      <c r="DM59" s="1">
        <v>1</v>
      </c>
      <c r="DN59" s="1"/>
      <c r="DO59" s="1">
        <v>1</v>
      </c>
      <c r="DP59" s="1"/>
      <c r="DQ59" s="1">
        <v>1</v>
      </c>
      <c r="DR59" s="1"/>
      <c r="DS59" s="1"/>
      <c r="DT59" s="7">
        <v>3</v>
      </c>
      <c r="DU59" s="7">
        <v>3</v>
      </c>
      <c r="DV59" s="1"/>
      <c r="DW59" s="1"/>
      <c r="DX59" s="7">
        <v>400</v>
      </c>
      <c r="DY59" s="7">
        <v>0</v>
      </c>
      <c r="DZ59" s="1"/>
      <c r="EA59" s="1"/>
      <c r="EB59" s="1"/>
      <c r="EC59" s="1" t="s">
        <v>111</v>
      </c>
      <c r="ED59" s="1" t="s">
        <v>112</v>
      </c>
      <c r="EE59" s="1">
        <v>1</v>
      </c>
      <c r="EF59" s="1">
        <v>1</v>
      </c>
      <c r="EG59" s="1" t="s">
        <v>113</v>
      </c>
      <c r="EH59" s="1" t="s">
        <v>114</v>
      </c>
      <c r="EI59" s="1" t="s">
        <v>111</v>
      </c>
      <c r="EJ59" s="1" t="s">
        <v>114</v>
      </c>
      <c r="EK59" s="1">
        <v>5</v>
      </c>
      <c r="EL59" s="1">
        <v>4</v>
      </c>
    </row>
    <row r="60" spans="1:142" x14ac:dyDescent="0.25">
      <c r="A60" s="5">
        <v>56</v>
      </c>
      <c r="B60" s="17" t="s">
        <v>226</v>
      </c>
      <c r="C60" s="1" t="s">
        <v>227</v>
      </c>
      <c r="D60" s="35">
        <v>45470</v>
      </c>
      <c r="E60" s="1">
        <v>2</v>
      </c>
      <c r="F60" s="36"/>
      <c r="G60" s="1">
        <v>1</v>
      </c>
      <c r="H60" s="1">
        <v>45</v>
      </c>
      <c r="I60" s="1">
        <v>35</v>
      </c>
      <c r="J60" s="1">
        <v>1</v>
      </c>
      <c r="K60" s="1">
        <v>0</v>
      </c>
      <c r="L60" s="1">
        <f t="shared" si="0"/>
        <v>0</v>
      </c>
      <c r="M60" s="1" t="s">
        <v>107</v>
      </c>
      <c r="N60" s="1" t="s">
        <v>120</v>
      </c>
      <c r="O60" s="1" t="s">
        <v>108</v>
      </c>
      <c r="P60" s="1" t="s">
        <v>110</v>
      </c>
      <c r="Q60" s="1" t="s">
        <v>110</v>
      </c>
      <c r="R60" s="7">
        <v>2</v>
      </c>
      <c r="S60" s="1">
        <v>6</v>
      </c>
      <c r="T60" s="1">
        <v>0.12644</v>
      </c>
      <c r="U60" s="1"/>
      <c r="V60" s="1"/>
      <c r="W60" s="1"/>
      <c r="X60" s="1"/>
      <c r="Y60" s="1"/>
      <c r="Z60" s="3">
        <v>1</v>
      </c>
      <c r="AA60" s="3"/>
      <c r="AB60" s="3"/>
      <c r="AC60" s="3">
        <v>1</v>
      </c>
      <c r="AD60" s="3">
        <v>1</v>
      </c>
      <c r="AE60" s="3">
        <v>1</v>
      </c>
      <c r="AF60" s="1"/>
      <c r="AG60" s="1"/>
      <c r="AH60" s="1"/>
      <c r="AI60" s="1"/>
      <c r="AJ60" s="1"/>
      <c r="AK60" s="1"/>
      <c r="AL60" s="1"/>
      <c r="AM60" s="1"/>
      <c r="AN60" s="7">
        <v>6</v>
      </c>
      <c r="AO60" s="7">
        <v>4</v>
      </c>
      <c r="AP60" s="7">
        <f t="shared" si="10"/>
        <v>0.26</v>
      </c>
      <c r="AQ60" s="7">
        <f t="shared" si="1"/>
        <v>11.538461538461538</v>
      </c>
      <c r="AR60" s="7">
        <f t="shared" si="2"/>
        <v>0.25</v>
      </c>
      <c r="AS60" s="7">
        <f t="shared" si="3"/>
        <v>0</v>
      </c>
      <c r="AT60" s="7">
        <f t="shared" si="4"/>
        <v>0</v>
      </c>
      <c r="AU60" s="7">
        <f t="shared" si="5"/>
        <v>11.538461538461538</v>
      </c>
      <c r="AV60" s="7">
        <f t="shared" si="6"/>
        <v>11.538461538461538</v>
      </c>
      <c r="AW60" s="7">
        <f t="shared" si="7"/>
        <v>11.538461538461538</v>
      </c>
      <c r="AX60" s="7">
        <f t="shared" si="8"/>
        <v>23.076923076923077</v>
      </c>
      <c r="AY60" s="7">
        <v>0.5</v>
      </c>
      <c r="AZ60" s="18">
        <v>15.5</v>
      </c>
      <c r="BA60" s="18">
        <v>62</v>
      </c>
      <c r="BB60" s="7">
        <v>0</v>
      </c>
      <c r="BC60" s="7">
        <v>82</v>
      </c>
      <c r="BD60" s="7">
        <f t="shared" si="9"/>
        <v>20.5</v>
      </c>
      <c r="BE60" s="5">
        <v>1</v>
      </c>
      <c r="BF60" s="1">
        <v>650</v>
      </c>
      <c r="BG60" s="7">
        <v>5520</v>
      </c>
      <c r="BH60" s="7">
        <v>15000</v>
      </c>
      <c r="BI60" s="7">
        <v>900</v>
      </c>
      <c r="BJ60" s="7">
        <v>18</v>
      </c>
      <c r="BK60" s="1"/>
      <c r="BL60" s="1"/>
      <c r="BM60" s="1">
        <v>1</v>
      </c>
      <c r="BN60" s="1"/>
      <c r="BO60" s="1"/>
      <c r="BP60" s="1">
        <v>1</v>
      </c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>
        <v>1</v>
      </c>
      <c r="CN60" s="1"/>
      <c r="CO60" s="1"/>
      <c r="CP60" s="1"/>
      <c r="CQ60" s="1"/>
      <c r="CR60" s="1"/>
      <c r="CS60" s="1"/>
      <c r="CT60" s="1"/>
      <c r="CU60" s="7">
        <v>2</v>
      </c>
      <c r="CV60" s="7">
        <v>2</v>
      </c>
      <c r="CW60" s="7">
        <v>0</v>
      </c>
      <c r="CX60" s="7">
        <v>8</v>
      </c>
      <c r="CY60" s="1">
        <v>2</v>
      </c>
      <c r="CZ60" s="1"/>
      <c r="DA60" s="7">
        <v>1</v>
      </c>
      <c r="DB60" s="1"/>
      <c r="DC60" s="1">
        <v>1</v>
      </c>
      <c r="DD60" s="1"/>
      <c r="DE60" s="1"/>
      <c r="DF60" s="1">
        <v>1</v>
      </c>
      <c r="DG60" s="1"/>
      <c r="DH60" s="1"/>
      <c r="DI60" s="1"/>
      <c r="DJ60" s="1">
        <v>1</v>
      </c>
      <c r="DK60" s="1"/>
      <c r="DL60" s="1"/>
      <c r="DM60" s="1">
        <v>1</v>
      </c>
      <c r="DN60" s="1"/>
      <c r="DO60" s="1">
        <v>1</v>
      </c>
      <c r="DP60" s="1"/>
      <c r="DQ60" s="1">
        <v>1</v>
      </c>
      <c r="DR60" s="1"/>
      <c r="DS60" s="1"/>
      <c r="DT60" s="7">
        <v>3</v>
      </c>
      <c r="DU60" s="7">
        <v>2</v>
      </c>
      <c r="DV60" s="1"/>
      <c r="DW60" s="1"/>
      <c r="DX60" s="7">
        <v>800</v>
      </c>
      <c r="DY60" s="7">
        <v>0</v>
      </c>
      <c r="DZ60" s="1"/>
      <c r="EA60" s="1"/>
      <c r="EB60" s="1"/>
      <c r="EC60" s="1" t="s">
        <v>111</v>
      </c>
      <c r="ED60" s="1" t="s">
        <v>112</v>
      </c>
      <c r="EE60" s="1">
        <v>1</v>
      </c>
      <c r="EF60" s="1">
        <v>1</v>
      </c>
      <c r="EG60" s="1" t="s">
        <v>113</v>
      </c>
      <c r="EH60" s="1" t="s">
        <v>114</v>
      </c>
      <c r="EI60" s="1" t="s">
        <v>111</v>
      </c>
      <c r="EJ60" s="1" t="s">
        <v>114</v>
      </c>
      <c r="EK60" s="1">
        <v>5</v>
      </c>
      <c r="EL60" s="1">
        <v>5</v>
      </c>
    </row>
    <row r="61" spans="1:142" x14ac:dyDescent="0.25">
      <c r="A61" s="5">
        <v>57</v>
      </c>
      <c r="B61" s="17" t="s">
        <v>228</v>
      </c>
      <c r="C61" s="1" t="s">
        <v>229</v>
      </c>
      <c r="D61" s="35">
        <v>45470</v>
      </c>
      <c r="E61" s="1">
        <v>2</v>
      </c>
      <c r="F61" s="36"/>
      <c r="G61" s="1">
        <v>1</v>
      </c>
      <c r="H61" s="1">
        <v>39</v>
      </c>
      <c r="I61" s="1">
        <v>0</v>
      </c>
      <c r="J61" s="1">
        <v>1</v>
      </c>
      <c r="K61" s="1">
        <v>5</v>
      </c>
      <c r="L61" s="1">
        <f t="shared" si="0"/>
        <v>1</v>
      </c>
      <c r="M61" s="1" t="s">
        <v>107</v>
      </c>
      <c r="N61" s="1" t="s">
        <v>108</v>
      </c>
      <c r="O61" s="1" t="s">
        <v>117</v>
      </c>
      <c r="P61" s="1" t="s">
        <v>110</v>
      </c>
      <c r="Q61" s="1" t="s">
        <v>110</v>
      </c>
      <c r="R61" s="7">
        <v>2</v>
      </c>
      <c r="S61" s="1">
        <v>3</v>
      </c>
      <c r="T61" s="1">
        <v>0.11379599999999999</v>
      </c>
      <c r="U61" s="1"/>
      <c r="V61" s="1"/>
      <c r="W61" s="1"/>
      <c r="X61" s="1"/>
      <c r="Y61" s="1"/>
      <c r="Z61" s="3"/>
      <c r="AA61" s="3">
        <v>1</v>
      </c>
      <c r="AB61" s="3"/>
      <c r="AC61" s="3">
        <v>2</v>
      </c>
      <c r="AD61" s="3"/>
      <c r="AE61" s="3">
        <v>1</v>
      </c>
      <c r="AF61" s="1"/>
      <c r="AG61" s="1"/>
      <c r="AH61" s="1"/>
      <c r="AI61" s="1"/>
      <c r="AJ61" s="1"/>
      <c r="AK61" s="1"/>
      <c r="AL61" s="1"/>
      <c r="AM61" s="1">
        <v>3</v>
      </c>
      <c r="AN61" s="7">
        <v>10</v>
      </c>
      <c r="AO61" s="7">
        <v>4</v>
      </c>
      <c r="AP61" s="7">
        <f t="shared" si="10"/>
        <v>0.19</v>
      </c>
      <c r="AQ61" s="7">
        <f t="shared" si="1"/>
        <v>15.789473684210526</v>
      </c>
      <c r="AR61" s="7">
        <f t="shared" si="2"/>
        <v>0</v>
      </c>
      <c r="AS61" s="7">
        <f t="shared" si="3"/>
        <v>0.25</v>
      </c>
      <c r="AT61" s="7">
        <f t="shared" si="4"/>
        <v>0</v>
      </c>
      <c r="AU61" s="7">
        <f t="shared" si="5"/>
        <v>31.578947368421051</v>
      </c>
      <c r="AV61" s="7">
        <f t="shared" si="6"/>
        <v>0</v>
      </c>
      <c r="AW61" s="7">
        <f t="shared" si="7"/>
        <v>15.789473684210526</v>
      </c>
      <c r="AX61" s="7">
        <f t="shared" si="8"/>
        <v>63.157894736842103</v>
      </c>
      <c r="AY61" s="7">
        <v>0.5</v>
      </c>
      <c r="AZ61" s="18">
        <v>14.75</v>
      </c>
      <c r="BA61" s="18">
        <v>59</v>
      </c>
      <c r="BB61" s="7">
        <v>0.5</v>
      </c>
      <c r="BC61" s="7">
        <v>86</v>
      </c>
      <c r="BD61" s="7">
        <f t="shared" si="9"/>
        <v>21.5</v>
      </c>
      <c r="BE61" s="5">
        <v>1</v>
      </c>
      <c r="BF61" s="1">
        <v>800</v>
      </c>
      <c r="BG61" s="7">
        <v>5740</v>
      </c>
      <c r="BH61" s="7">
        <v>15000</v>
      </c>
      <c r="BI61" s="7">
        <v>900</v>
      </c>
      <c r="BJ61" s="7">
        <v>18</v>
      </c>
      <c r="BK61" s="1"/>
      <c r="BL61" s="1"/>
      <c r="BM61" s="1"/>
      <c r="BN61" s="1"/>
      <c r="BO61" s="1"/>
      <c r="BP61" s="1">
        <v>1</v>
      </c>
      <c r="BQ61" s="1"/>
      <c r="BR61" s="1"/>
      <c r="BS61" s="1"/>
      <c r="BT61" s="1">
        <v>1</v>
      </c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7">
        <v>2</v>
      </c>
      <c r="CV61" s="7">
        <v>2</v>
      </c>
      <c r="CW61" s="7">
        <v>0</v>
      </c>
      <c r="CX61" s="7">
        <v>8</v>
      </c>
      <c r="CY61" s="1">
        <v>2</v>
      </c>
      <c r="CZ61" s="1"/>
      <c r="DA61" s="7">
        <v>1</v>
      </c>
      <c r="DB61" s="1"/>
      <c r="DC61" s="1"/>
      <c r="DD61" s="1"/>
      <c r="DE61" s="1"/>
      <c r="DF61" s="1">
        <v>1</v>
      </c>
      <c r="DG61" s="1"/>
      <c r="DH61" s="1"/>
      <c r="DI61" s="1"/>
      <c r="DJ61" s="1">
        <v>1</v>
      </c>
      <c r="DK61" s="1"/>
      <c r="DL61" s="1"/>
      <c r="DM61" s="1">
        <v>1</v>
      </c>
      <c r="DN61" s="1"/>
      <c r="DO61" s="1"/>
      <c r="DP61" s="1"/>
      <c r="DQ61" s="1">
        <v>1</v>
      </c>
      <c r="DR61" s="1"/>
      <c r="DS61" s="1"/>
      <c r="DT61" s="7">
        <v>3</v>
      </c>
      <c r="DU61" s="7">
        <v>2</v>
      </c>
      <c r="DV61" s="1"/>
      <c r="DW61" s="1"/>
      <c r="DX61" s="7">
        <v>800</v>
      </c>
      <c r="DY61" s="7">
        <v>1200</v>
      </c>
      <c r="DZ61" s="1"/>
      <c r="EA61" s="1"/>
      <c r="EB61" s="1"/>
      <c r="EC61" s="1" t="s">
        <v>111</v>
      </c>
      <c r="ED61" s="1" t="s">
        <v>112</v>
      </c>
      <c r="EE61" s="1">
        <v>1</v>
      </c>
      <c r="EF61" s="1">
        <v>1</v>
      </c>
      <c r="EG61" s="1" t="s">
        <v>113</v>
      </c>
      <c r="EH61" s="1" t="s">
        <v>114</v>
      </c>
      <c r="EI61" s="1" t="s">
        <v>111</v>
      </c>
      <c r="EJ61" s="1" t="s">
        <v>114</v>
      </c>
      <c r="EK61" s="1">
        <v>5</v>
      </c>
      <c r="EL61" s="1">
        <v>4</v>
      </c>
    </row>
    <row r="62" spans="1:142" x14ac:dyDescent="0.25">
      <c r="A62" s="5">
        <v>58</v>
      </c>
      <c r="B62" s="17" t="s">
        <v>230</v>
      </c>
      <c r="C62" s="1" t="s">
        <v>231</v>
      </c>
      <c r="D62" s="35">
        <v>45625</v>
      </c>
      <c r="E62" s="1">
        <v>2</v>
      </c>
      <c r="F62" s="36">
        <v>1</v>
      </c>
      <c r="G62" s="1">
        <v>1</v>
      </c>
      <c r="H62" s="1">
        <v>45</v>
      </c>
      <c r="I62" s="1">
        <v>3</v>
      </c>
      <c r="J62" s="1">
        <v>1</v>
      </c>
      <c r="K62" s="1">
        <v>0</v>
      </c>
      <c r="L62" s="1">
        <f t="shared" si="0"/>
        <v>0</v>
      </c>
      <c r="M62" s="1" t="s">
        <v>107</v>
      </c>
      <c r="N62" s="1" t="s">
        <v>108</v>
      </c>
      <c r="O62" s="1" t="s">
        <v>109</v>
      </c>
      <c r="P62" s="1" t="s">
        <v>110</v>
      </c>
      <c r="Q62" s="1" t="s">
        <v>110</v>
      </c>
      <c r="R62" s="7">
        <v>3</v>
      </c>
      <c r="S62" s="1">
        <v>4</v>
      </c>
      <c r="T62" s="1">
        <v>0.25287999999999999</v>
      </c>
      <c r="U62" s="1"/>
      <c r="V62" s="1"/>
      <c r="W62" s="1"/>
      <c r="X62" s="1"/>
      <c r="Y62" s="1"/>
      <c r="Z62" s="3"/>
      <c r="AA62" s="3">
        <v>2</v>
      </c>
      <c r="AB62" s="3"/>
      <c r="AC62" s="3"/>
      <c r="AD62" s="3"/>
      <c r="AE62" s="3"/>
      <c r="AF62" s="1"/>
      <c r="AG62" s="1"/>
      <c r="AH62" s="1"/>
      <c r="AI62" s="1"/>
      <c r="AJ62" s="1"/>
      <c r="AK62" s="1"/>
      <c r="AL62" s="1"/>
      <c r="AM62" s="1"/>
      <c r="AN62" s="7">
        <v>9</v>
      </c>
      <c r="AO62" s="7">
        <v>2</v>
      </c>
      <c r="AP62" s="7">
        <f t="shared" si="10"/>
        <v>0.06</v>
      </c>
      <c r="AQ62" s="7">
        <f t="shared" si="1"/>
        <v>100</v>
      </c>
      <c r="AR62" s="7">
        <f t="shared" si="2"/>
        <v>0</v>
      </c>
      <c r="AS62" s="7">
        <f t="shared" si="3"/>
        <v>1</v>
      </c>
      <c r="AT62" s="7">
        <f t="shared" si="4"/>
        <v>0</v>
      </c>
      <c r="AU62" s="7">
        <f t="shared" si="5"/>
        <v>0</v>
      </c>
      <c r="AV62" s="7">
        <f t="shared" si="6"/>
        <v>0</v>
      </c>
      <c r="AW62" s="7">
        <f t="shared" si="7"/>
        <v>0</v>
      </c>
      <c r="AX62" s="7">
        <f t="shared" si="8"/>
        <v>100</v>
      </c>
      <c r="AY62" s="7">
        <v>1</v>
      </c>
      <c r="AZ62" s="18">
        <v>6</v>
      </c>
      <c r="BA62" s="18">
        <v>12</v>
      </c>
      <c r="BB62" s="7">
        <v>0</v>
      </c>
      <c r="BC62" s="7">
        <v>21</v>
      </c>
      <c r="BD62" s="7">
        <f t="shared" si="9"/>
        <v>10.5</v>
      </c>
      <c r="BE62" s="5">
        <v>0</v>
      </c>
      <c r="BF62" s="1">
        <v>0</v>
      </c>
      <c r="BG62" s="7">
        <v>1420</v>
      </c>
      <c r="BH62" s="7">
        <v>15000</v>
      </c>
      <c r="BI62" s="7">
        <v>400</v>
      </c>
      <c r="BJ62" s="7">
        <v>8</v>
      </c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7">
        <v>2</v>
      </c>
      <c r="CV62" s="7">
        <v>2</v>
      </c>
      <c r="CW62" s="7">
        <v>0</v>
      </c>
      <c r="CX62" s="7">
        <v>8</v>
      </c>
      <c r="CY62" s="1">
        <v>2</v>
      </c>
      <c r="CZ62" s="1"/>
      <c r="DA62" s="7">
        <v>1</v>
      </c>
      <c r="DB62" s="1"/>
      <c r="DC62" s="1"/>
      <c r="DD62" s="1"/>
      <c r="DE62" s="1"/>
      <c r="DF62" s="1">
        <v>1</v>
      </c>
      <c r="DG62" s="1"/>
      <c r="DH62" s="1"/>
      <c r="DI62" s="1"/>
      <c r="DJ62" s="1">
        <v>1</v>
      </c>
      <c r="DK62" s="1"/>
      <c r="DL62" s="1"/>
      <c r="DM62" s="1">
        <v>1</v>
      </c>
      <c r="DN62" s="1"/>
      <c r="DO62" s="1"/>
      <c r="DP62" s="1"/>
      <c r="DQ62" s="1">
        <v>1</v>
      </c>
      <c r="DR62" s="1"/>
      <c r="DS62" s="1"/>
      <c r="DT62" s="7">
        <v>3</v>
      </c>
      <c r="DU62" s="7">
        <v>2</v>
      </c>
      <c r="DV62" s="1"/>
      <c r="DW62" s="1"/>
      <c r="DX62" s="7">
        <v>500</v>
      </c>
      <c r="DY62" s="7">
        <v>600</v>
      </c>
      <c r="DZ62" s="1"/>
      <c r="EA62" s="1"/>
      <c r="EB62" s="1"/>
      <c r="EC62" s="1" t="s">
        <v>111</v>
      </c>
      <c r="ED62" s="1" t="s">
        <v>112</v>
      </c>
      <c r="EE62" s="1">
        <v>1</v>
      </c>
      <c r="EF62" s="1">
        <v>1</v>
      </c>
      <c r="EG62" s="1" t="s">
        <v>113</v>
      </c>
      <c r="EH62" s="1" t="s">
        <v>114</v>
      </c>
      <c r="EI62" s="1" t="s">
        <v>111</v>
      </c>
      <c r="EJ62" s="1" t="s">
        <v>114</v>
      </c>
      <c r="EK62" s="1">
        <v>6</v>
      </c>
      <c r="EL62" s="1">
        <v>5</v>
      </c>
    </row>
    <row r="63" spans="1:142" x14ac:dyDescent="0.25">
      <c r="A63" s="5">
        <v>59</v>
      </c>
      <c r="B63" s="17" t="s">
        <v>232</v>
      </c>
      <c r="C63" s="1" t="s">
        <v>196</v>
      </c>
      <c r="D63" s="35">
        <v>45625</v>
      </c>
      <c r="E63" s="1">
        <v>2</v>
      </c>
      <c r="F63" s="36"/>
      <c r="G63" s="1">
        <v>1</v>
      </c>
      <c r="H63" s="1">
        <v>38</v>
      </c>
      <c r="I63" s="1">
        <v>6</v>
      </c>
      <c r="J63" s="1">
        <v>5</v>
      </c>
      <c r="K63" s="1">
        <v>12</v>
      </c>
      <c r="L63" s="1">
        <f t="shared" si="0"/>
        <v>4</v>
      </c>
      <c r="M63" s="1" t="s">
        <v>107</v>
      </c>
      <c r="N63" s="1" t="s">
        <v>120</v>
      </c>
      <c r="O63" s="1" t="s">
        <v>109</v>
      </c>
      <c r="P63" s="1" t="s">
        <v>110</v>
      </c>
      <c r="Q63" s="1" t="s">
        <v>110</v>
      </c>
      <c r="R63" s="7">
        <v>1</v>
      </c>
      <c r="S63" s="1">
        <v>9</v>
      </c>
      <c r="T63" s="1">
        <v>0</v>
      </c>
      <c r="U63" s="1"/>
      <c r="V63" s="1"/>
      <c r="W63" s="1"/>
      <c r="X63" s="1"/>
      <c r="Y63" s="1"/>
      <c r="Z63" s="3"/>
      <c r="AA63" s="3">
        <v>2</v>
      </c>
      <c r="AB63" s="3"/>
      <c r="AC63" s="3"/>
      <c r="AD63" s="3">
        <v>1</v>
      </c>
      <c r="AE63" s="3">
        <v>1</v>
      </c>
      <c r="AF63" s="1"/>
      <c r="AG63" s="1"/>
      <c r="AH63" s="1"/>
      <c r="AI63" s="1"/>
      <c r="AJ63" s="1"/>
      <c r="AK63" s="1"/>
      <c r="AL63" s="1"/>
      <c r="AM63" s="1"/>
      <c r="AN63" s="7">
        <v>10</v>
      </c>
      <c r="AO63" s="7">
        <v>4</v>
      </c>
      <c r="AP63" s="7">
        <f t="shared" si="10"/>
        <v>0.26</v>
      </c>
      <c r="AQ63" s="7">
        <f t="shared" si="1"/>
        <v>23.076923076923077</v>
      </c>
      <c r="AR63" s="7">
        <f t="shared" si="2"/>
        <v>0</v>
      </c>
      <c r="AS63" s="7">
        <f t="shared" si="3"/>
        <v>0.5</v>
      </c>
      <c r="AT63" s="7">
        <f t="shared" si="4"/>
        <v>0</v>
      </c>
      <c r="AU63" s="7">
        <f t="shared" si="5"/>
        <v>0</v>
      </c>
      <c r="AV63" s="7">
        <f t="shared" si="6"/>
        <v>11.538461538461538</v>
      </c>
      <c r="AW63" s="7">
        <f t="shared" si="7"/>
        <v>11.538461538461538</v>
      </c>
      <c r="AX63" s="7">
        <f t="shared" si="8"/>
        <v>34.615384615384613</v>
      </c>
      <c r="AY63" s="7">
        <v>0.5</v>
      </c>
      <c r="AZ63" s="18">
        <v>19.5</v>
      </c>
      <c r="BA63" s="18">
        <v>78</v>
      </c>
      <c r="BB63" s="7">
        <v>0</v>
      </c>
      <c r="BC63" s="7">
        <v>99</v>
      </c>
      <c r="BD63" s="7">
        <f t="shared" si="9"/>
        <v>24.75</v>
      </c>
      <c r="BE63" s="5">
        <v>1</v>
      </c>
      <c r="BF63" s="1">
        <v>750</v>
      </c>
      <c r="BG63" s="7">
        <v>6690</v>
      </c>
      <c r="BH63" s="7">
        <v>15000</v>
      </c>
      <c r="BI63" s="7">
        <v>900</v>
      </c>
      <c r="BJ63" s="7">
        <v>18</v>
      </c>
      <c r="BK63" s="1"/>
      <c r="BL63" s="1"/>
      <c r="BM63" s="1">
        <v>1</v>
      </c>
      <c r="BN63" s="1"/>
      <c r="BO63" s="1"/>
      <c r="BP63" s="1">
        <v>1</v>
      </c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7">
        <v>2</v>
      </c>
      <c r="CV63" s="7">
        <v>2</v>
      </c>
      <c r="CW63" s="7">
        <v>0</v>
      </c>
      <c r="CX63" s="7">
        <v>8</v>
      </c>
      <c r="CY63" s="1">
        <v>2</v>
      </c>
      <c r="CZ63" s="1"/>
      <c r="DA63" s="7">
        <v>1</v>
      </c>
      <c r="DB63" s="1"/>
      <c r="DC63" s="1">
        <v>1</v>
      </c>
      <c r="DD63" s="1"/>
      <c r="DE63" s="1"/>
      <c r="DF63" s="1">
        <v>1</v>
      </c>
      <c r="DG63" s="1"/>
      <c r="DH63" s="1"/>
      <c r="DI63" s="1"/>
      <c r="DJ63" s="1">
        <v>1</v>
      </c>
      <c r="DK63" s="1"/>
      <c r="DL63" s="1"/>
      <c r="DM63" s="1">
        <v>1</v>
      </c>
      <c r="DN63" s="1"/>
      <c r="DO63" s="1">
        <v>1</v>
      </c>
      <c r="DP63" s="1"/>
      <c r="DQ63" s="1">
        <v>1</v>
      </c>
      <c r="DR63" s="1"/>
      <c r="DS63" s="1"/>
      <c r="DT63" s="7">
        <v>3</v>
      </c>
      <c r="DU63" s="7">
        <v>3</v>
      </c>
      <c r="DV63" s="1"/>
      <c r="DW63" s="1"/>
      <c r="DX63" s="7">
        <v>700</v>
      </c>
      <c r="DY63" s="7">
        <v>1100</v>
      </c>
      <c r="DZ63" s="1"/>
      <c r="EA63" s="1"/>
      <c r="EB63" s="1"/>
      <c r="EC63" s="1" t="s">
        <v>111</v>
      </c>
      <c r="ED63" s="1" t="s">
        <v>112</v>
      </c>
      <c r="EE63" s="1">
        <v>1</v>
      </c>
      <c r="EF63" s="1">
        <v>1</v>
      </c>
      <c r="EG63" s="1" t="s">
        <v>113</v>
      </c>
      <c r="EH63" s="1" t="s">
        <v>114</v>
      </c>
      <c r="EI63" s="1" t="s">
        <v>111</v>
      </c>
      <c r="EJ63" s="1" t="s">
        <v>114</v>
      </c>
      <c r="EK63" s="1">
        <v>5</v>
      </c>
      <c r="EL63" s="1">
        <v>4</v>
      </c>
    </row>
    <row r="64" spans="1:142" x14ac:dyDescent="0.25">
      <c r="A64" s="5">
        <v>60</v>
      </c>
      <c r="B64" s="17" t="s">
        <v>233</v>
      </c>
      <c r="C64" s="1" t="s">
        <v>234</v>
      </c>
      <c r="D64" s="35">
        <v>45625</v>
      </c>
      <c r="E64" s="1">
        <v>3</v>
      </c>
      <c r="F64" s="36"/>
      <c r="G64" s="1">
        <v>1</v>
      </c>
      <c r="H64" s="1">
        <v>21</v>
      </c>
      <c r="I64" s="1">
        <v>0</v>
      </c>
      <c r="J64" s="1">
        <v>1</v>
      </c>
      <c r="K64" s="1">
        <v>12</v>
      </c>
      <c r="L64" s="1">
        <f t="shared" si="0"/>
        <v>4</v>
      </c>
      <c r="M64" s="1" t="s">
        <v>107</v>
      </c>
      <c r="N64" s="1" t="s">
        <v>108</v>
      </c>
      <c r="O64" s="1" t="s">
        <v>235</v>
      </c>
      <c r="P64" s="1" t="s">
        <v>110</v>
      </c>
      <c r="Q64" s="1" t="s">
        <v>110</v>
      </c>
      <c r="R64" s="7">
        <v>3</v>
      </c>
      <c r="S64" s="1">
        <v>4</v>
      </c>
      <c r="T64" s="1">
        <v>0</v>
      </c>
      <c r="U64" s="1"/>
      <c r="V64" s="1"/>
      <c r="W64" s="1"/>
      <c r="X64" s="1"/>
      <c r="Y64" s="1"/>
      <c r="Z64" s="3"/>
      <c r="AA64" s="3">
        <v>2</v>
      </c>
      <c r="AB64" s="3"/>
      <c r="AC64" s="3"/>
      <c r="AD64" s="3"/>
      <c r="AE64" s="3"/>
      <c r="AF64" s="1"/>
      <c r="AG64" s="1">
        <v>1</v>
      </c>
      <c r="AH64" s="1"/>
      <c r="AI64" s="1"/>
      <c r="AJ64" s="1"/>
      <c r="AK64" s="1"/>
      <c r="AL64" s="1"/>
      <c r="AM64" s="1"/>
      <c r="AN64" s="7">
        <v>10</v>
      </c>
      <c r="AO64" s="7">
        <v>2</v>
      </c>
      <c r="AP64" s="7">
        <f t="shared" si="10"/>
        <v>0.06</v>
      </c>
      <c r="AQ64" s="7">
        <f t="shared" si="1"/>
        <v>100</v>
      </c>
      <c r="AR64" s="7">
        <f t="shared" si="2"/>
        <v>0</v>
      </c>
      <c r="AS64" s="7">
        <f t="shared" si="3"/>
        <v>1</v>
      </c>
      <c r="AT64" s="7">
        <f t="shared" si="4"/>
        <v>0</v>
      </c>
      <c r="AU64" s="7">
        <f t="shared" si="5"/>
        <v>0</v>
      </c>
      <c r="AV64" s="7">
        <f t="shared" si="6"/>
        <v>0</v>
      </c>
      <c r="AW64" s="7">
        <f t="shared" si="7"/>
        <v>0</v>
      </c>
      <c r="AX64" s="7">
        <f t="shared" si="8"/>
        <v>100</v>
      </c>
      <c r="AY64" s="7">
        <v>1.5</v>
      </c>
      <c r="AZ64" s="18">
        <v>6</v>
      </c>
      <c r="BA64" s="18">
        <v>12</v>
      </c>
      <c r="BB64" s="7">
        <v>0</v>
      </c>
      <c r="BC64" s="7">
        <v>22</v>
      </c>
      <c r="BD64" s="7">
        <f t="shared" si="9"/>
        <v>11</v>
      </c>
      <c r="BE64" s="5">
        <v>0</v>
      </c>
      <c r="BF64" s="1">
        <v>0</v>
      </c>
      <c r="BG64" s="7">
        <v>1470</v>
      </c>
      <c r="BH64" s="7">
        <v>30000</v>
      </c>
      <c r="BI64" s="7">
        <v>400</v>
      </c>
      <c r="BJ64" s="7">
        <v>8</v>
      </c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>
        <v>1</v>
      </c>
      <c r="CM64" s="1"/>
      <c r="CN64" s="1"/>
      <c r="CO64" s="1"/>
      <c r="CP64" s="1"/>
      <c r="CQ64" s="1"/>
      <c r="CR64" s="1"/>
      <c r="CS64" s="1"/>
      <c r="CT64" s="1"/>
      <c r="CU64" s="7">
        <v>2</v>
      </c>
      <c r="CV64" s="7">
        <v>2</v>
      </c>
      <c r="CW64" s="7">
        <v>0</v>
      </c>
      <c r="CX64" s="7">
        <v>8</v>
      </c>
      <c r="CY64" s="1">
        <v>4</v>
      </c>
      <c r="CZ64" s="1"/>
      <c r="DA64" s="7">
        <v>1</v>
      </c>
      <c r="DB64" s="1"/>
      <c r="DC64" s="1"/>
      <c r="DD64" s="1"/>
      <c r="DE64" s="1"/>
      <c r="DF64" s="1">
        <v>1</v>
      </c>
      <c r="DG64" s="1"/>
      <c r="DH64" s="1"/>
      <c r="DI64" s="1"/>
      <c r="DJ64" s="1">
        <v>1</v>
      </c>
      <c r="DK64" s="1"/>
      <c r="DL64" s="1"/>
      <c r="DM64" s="1">
        <v>1</v>
      </c>
      <c r="DN64" s="1"/>
      <c r="DO64" s="1"/>
      <c r="DP64" s="1"/>
      <c r="DQ64" s="1">
        <v>1</v>
      </c>
      <c r="DR64" s="1"/>
      <c r="DS64" s="1"/>
      <c r="DT64" s="7">
        <v>3</v>
      </c>
      <c r="DU64" s="7">
        <v>2</v>
      </c>
      <c r="DV64" s="1"/>
      <c r="DW64" s="1"/>
      <c r="DX64" s="7">
        <v>400</v>
      </c>
      <c r="DY64" s="7">
        <v>800</v>
      </c>
      <c r="DZ64" s="1"/>
      <c r="EA64" s="1"/>
      <c r="EB64" s="1"/>
      <c r="EC64" s="1" t="s">
        <v>111</v>
      </c>
      <c r="ED64" s="1" t="s">
        <v>112</v>
      </c>
      <c r="EE64" s="1">
        <v>1</v>
      </c>
      <c r="EF64" s="1">
        <v>1</v>
      </c>
      <c r="EG64" s="1" t="s">
        <v>113</v>
      </c>
      <c r="EH64" s="1" t="s">
        <v>114</v>
      </c>
      <c r="EI64" s="1" t="s">
        <v>111</v>
      </c>
      <c r="EJ64" s="1" t="s">
        <v>114</v>
      </c>
      <c r="EK64" s="1">
        <v>6</v>
      </c>
      <c r="EL64" s="1">
        <v>4</v>
      </c>
    </row>
    <row r="65" spans="1:142" x14ac:dyDescent="0.25">
      <c r="A65" s="5">
        <v>61</v>
      </c>
      <c r="B65" s="17" t="s">
        <v>236</v>
      </c>
      <c r="C65" s="1" t="s">
        <v>237</v>
      </c>
      <c r="D65" s="35">
        <v>45625</v>
      </c>
      <c r="E65" s="1">
        <v>0</v>
      </c>
      <c r="F65" s="36">
        <v>1</v>
      </c>
      <c r="G65" s="1">
        <v>1</v>
      </c>
      <c r="H65" s="1">
        <v>60</v>
      </c>
      <c r="I65" s="1">
        <v>35</v>
      </c>
      <c r="J65" s="1">
        <v>15</v>
      </c>
      <c r="K65" s="1">
        <v>0</v>
      </c>
      <c r="L65" s="1">
        <f t="shared" si="0"/>
        <v>0</v>
      </c>
      <c r="M65" s="1" t="s">
        <v>107</v>
      </c>
      <c r="N65" s="1" t="s">
        <v>120</v>
      </c>
      <c r="O65" s="1" t="s">
        <v>109</v>
      </c>
      <c r="P65" s="1" t="s">
        <v>110</v>
      </c>
      <c r="Q65" s="1" t="s">
        <v>110</v>
      </c>
      <c r="R65" s="7">
        <v>3</v>
      </c>
      <c r="S65" s="1">
        <v>5</v>
      </c>
      <c r="T65" s="1">
        <v>0</v>
      </c>
      <c r="U65" s="1"/>
      <c r="V65" s="1"/>
      <c r="W65" s="1"/>
      <c r="X65" s="1"/>
      <c r="Y65" s="1"/>
      <c r="Z65" s="3">
        <v>1</v>
      </c>
      <c r="AA65" s="3"/>
      <c r="AB65" s="3"/>
      <c r="AC65" s="3"/>
      <c r="AD65" s="3"/>
      <c r="AE65" s="3"/>
      <c r="AF65" s="1"/>
      <c r="AG65" s="1">
        <v>1</v>
      </c>
      <c r="AH65" s="1"/>
      <c r="AI65" s="1"/>
      <c r="AJ65" s="1"/>
      <c r="AK65" s="1"/>
      <c r="AL65" s="1"/>
      <c r="AM65" s="1"/>
      <c r="AN65" s="7">
        <v>10</v>
      </c>
      <c r="AO65" s="7">
        <v>1</v>
      </c>
      <c r="AP65" s="7">
        <f t="shared" si="10"/>
        <v>0.03</v>
      </c>
      <c r="AQ65" s="7">
        <f t="shared" si="1"/>
        <v>100</v>
      </c>
      <c r="AR65" s="7">
        <f t="shared" si="2"/>
        <v>1</v>
      </c>
      <c r="AS65" s="7">
        <f t="shared" si="3"/>
        <v>0</v>
      </c>
      <c r="AT65" s="7">
        <f t="shared" si="4"/>
        <v>0</v>
      </c>
      <c r="AU65" s="7">
        <f t="shared" si="5"/>
        <v>0</v>
      </c>
      <c r="AV65" s="7">
        <f t="shared" si="6"/>
        <v>0</v>
      </c>
      <c r="AW65" s="7">
        <f t="shared" si="7"/>
        <v>0</v>
      </c>
      <c r="AX65" s="7">
        <f t="shared" si="8"/>
        <v>0</v>
      </c>
      <c r="AY65" s="7">
        <v>1</v>
      </c>
      <c r="AZ65" s="18">
        <v>6</v>
      </c>
      <c r="BA65" s="18">
        <v>6</v>
      </c>
      <c r="BB65" s="7">
        <v>0</v>
      </c>
      <c r="BC65" s="7">
        <v>10</v>
      </c>
      <c r="BD65" s="7">
        <f t="shared" si="9"/>
        <v>10</v>
      </c>
      <c r="BE65" s="5">
        <v>0</v>
      </c>
      <c r="BF65" s="1">
        <v>0</v>
      </c>
      <c r="BG65" s="7">
        <v>600</v>
      </c>
      <c r="BH65" s="7">
        <v>15000</v>
      </c>
      <c r="BI65" s="7">
        <v>200</v>
      </c>
      <c r="BJ65" s="7">
        <v>4</v>
      </c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7">
        <v>2</v>
      </c>
      <c r="CV65" s="7">
        <v>2</v>
      </c>
      <c r="CW65" s="7">
        <v>0</v>
      </c>
      <c r="CX65" s="7">
        <v>8</v>
      </c>
      <c r="CY65" s="1">
        <v>2</v>
      </c>
      <c r="CZ65" s="1"/>
      <c r="DA65" s="7">
        <v>1</v>
      </c>
      <c r="DB65" s="1"/>
      <c r="DC65" s="1"/>
      <c r="DD65" s="1"/>
      <c r="DE65" s="1"/>
      <c r="DF65" s="1">
        <v>1</v>
      </c>
      <c r="DG65" s="1"/>
      <c r="DH65" s="1"/>
      <c r="DI65" s="1"/>
      <c r="DJ65" s="1">
        <v>1</v>
      </c>
      <c r="DK65" s="1"/>
      <c r="DL65" s="1"/>
      <c r="DM65" s="1">
        <v>1</v>
      </c>
      <c r="DN65" s="1"/>
      <c r="DO65" s="1"/>
      <c r="DP65" s="1"/>
      <c r="DQ65" s="1">
        <v>1</v>
      </c>
      <c r="DR65" s="1"/>
      <c r="DS65" s="1"/>
      <c r="DT65" s="7">
        <v>3</v>
      </c>
      <c r="DU65" s="7">
        <v>1</v>
      </c>
      <c r="DV65" s="7">
        <v>117100</v>
      </c>
      <c r="DW65" s="1"/>
      <c r="DX65" s="7">
        <v>200</v>
      </c>
      <c r="DY65" s="7">
        <v>0</v>
      </c>
      <c r="DZ65" s="1"/>
      <c r="EA65" s="1"/>
      <c r="EB65" s="1"/>
      <c r="EC65" s="1" t="s">
        <v>111</v>
      </c>
      <c r="ED65" s="1" t="s">
        <v>112</v>
      </c>
      <c r="EE65" s="1">
        <v>1</v>
      </c>
      <c r="EF65" s="1">
        <v>1</v>
      </c>
      <c r="EG65" s="1" t="s">
        <v>113</v>
      </c>
      <c r="EH65" s="1" t="s">
        <v>114</v>
      </c>
      <c r="EI65" s="1" t="s">
        <v>111</v>
      </c>
      <c r="EJ65" s="1" t="s">
        <v>114</v>
      </c>
      <c r="EK65" s="1">
        <v>6</v>
      </c>
      <c r="EL65" s="1">
        <v>4</v>
      </c>
    </row>
    <row r="66" spans="1:142" x14ac:dyDescent="0.25">
      <c r="A66" s="5">
        <v>62</v>
      </c>
      <c r="B66" s="37" t="s">
        <v>161</v>
      </c>
      <c r="C66" s="1" t="s">
        <v>238</v>
      </c>
      <c r="D66" s="35">
        <v>45370</v>
      </c>
      <c r="E66" s="1">
        <v>2</v>
      </c>
      <c r="F66" s="36"/>
      <c r="G66" s="1">
        <v>1</v>
      </c>
      <c r="H66" s="1">
        <v>70</v>
      </c>
      <c r="I66" s="1">
        <v>40</v>
      </c>
      <c r="J66" s="1">
        <v>1</v>
      </c>
      <c r="K66" s="1">
        <v>0</v>
      </c>
      <c r="L66" s="1">
        <f t="shared" si="0"/>
        <v>0</v>
      </c>
      <c r="M66" s="1" t="s">
        <v>107</v>
      </c>
      <c r="N66" s="1" t="s">
        <v>109</v>
      </c>
      <c r="O66" s="1" t="s">
        <v>239</v>
      </c>
      <c r="P66" s="1" t="s">
        <v>110</v>
      </c>
      <c r="Q66" s="1" t="s">
        <v>110</v>
      </c>
      <c r="R66" s="7">
        <v>3</v>
      </c>
      <c r="S66" s="1">
        <v>2</v>
      </c>
      <c r="T66" s="1">
        <v>1.2644</v>
      </c>
      <c r="U66" s="1"/>
      <c r="V66" s="1"/>
      <c r="W66" s="1"/>
      <c r="X66" s="1"/>
      <c r="Y66" s="1"/>
      <c r="Z66" s="3">
        <v>2</v>
      </c>
      <c r="AA66" s="3">
        <v>3</v>
      </c>
      <c r="AB66" s="3">
        <v>1</v>
      </c>
      <c r="AC66" s="3">
        <v>2</v>
      </c>
      <c r="AD66" s="3">
        <v>4</v>
      </c>
      <c r="AE66" s="3">
        <v>6</v>
      </c>
      <c r="AF66" s="1">
        <v>2</v>
      </c>
      <c r="AG66" s="1">
        <v>1</v>
      </c>
      <c r="AH66" s="1"/>
      <c r="AI66" s="1"/>
      <c r="AJ66" s="1"/>
      <c r="AK66" s="1"/>
      <c r="AL66" s="1">
        <v>5</v>
      </c>
      <c r="AM66" s="1">
        <v>5</v>
      </c>
      <c r="AN66" s="1">
        <v>25</v>
      </c>
      <c r="AO66" s="7">
        <v>18</v>
      </c>
      <c r="AP66" s="7">
        <f t="shared" si="10"/>
        <v>1.24</v>
      </c>
      <c r="AQ66" s="7">
        <f t="shared" si="1"/>
        <v>12.096774193548386</v>
      </c>
      <c r="AR66" s="7">
        <f t="shared" si="2"/>
        <v>0.1111111111111111</v>
      </c>
      <c r="AS66" s="7">
        <f t="shared" si="3"/>
        <v>0.16666666666666666</v>
      </c>
      <c r="AT66" s="7">
        <f t="shared" si="4"/>
        <v>2.4193548387096775</v>
      </c>
      <c r="AU66" s="7">
        <f t="shared" si="5"/>
        <v>4.838709677419355</v>
      </c>
      <c r="AV66" s="7">
        <f t="shared" si="6"/>
        <v>9.67741935483871</v>
      </c>
      <c r="AW66" s="7">
        <f t="shared" si="7"/>
        <v>14.516129032258062</v>
      </c>
      <c r="AX66" s="7">
        <f t="shared" si="8"/>
        <v>26.612903225806448</v>
      </c>
      <c r="AY66" s="7">
        <v>0.111111</v>
      </c>
      <c r="AZ66" s="18">
        <v>18.722222222222221</v>
      </c>
      <c r="BA66" s="18">
        <v>337</v>
      </c>
      <c r="BB66" s="7">
        <v>0.4</v>
      </c>
      <c r="BC66" s="7">
        <v>433</v>
      </c>
      <c r="BD66" s="7">
        <f t="shared" si="9"/>
        <v>24.055555555555557</v>
      </c>
      <c r="BE66" s="5">
        <v>4</v>
      </c>
      <c r="BF66" s="1">
        <v>687.5</v>
      </c>
      <c r="BG66" s="7">
        <v>30520</v>
      </c>
      <c r="BH66" s="7">
        <v>15000</v>
      </c>
      <c r="BI66" s="7">
        <v>3900</v>
      </c>
      <c r="BJ66" s="7">
        <v>78</v>
      </c>
      <c r="BK66" s="1"/>
      <c r="BL66" s="1"/>
      <c r="BM66" s="1">
        <v>4</v>
      </c>
      <c r="BN66" s="1"/>
      <c r="BO66" s="1"/>
      <c r="BP66" s="1">
        <v>4</v>
      </c>
      <c r="BQ66" s="1">
        <v>1</v>
      </c>
      <c r="BR66" s="1">
        <v>1</v>
      </c>
      <c r="BS66" s="1"/>
      <c r="BT66" s="1">
        <v>3</v>
      </c>
      <c r="BU66" s="1">
        <v>2</v>
      </c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7">
        <v>2</v>
      </c>
      <c r="CV66" s="7">
        <v>2</v>
      </c>
      <c r="CW66" s="7">
        <v>0</v>
      </c>
      <c r="CX66" s="7">
        <v>8</v>
      </c>
      <c r="CY66" s="1">
        <v>2</v>
      </c>
      <c r="CZ66" s="1"/>
      <c r="DA66" s="7">
        <v>1</v>
      </c>
      <c r="DB66" s="1"/>
      <c r="DC66" s="1"/>
      <c r="DD66" s="1"/>
      <c r="DE66" s="1"/>
      <c r="DF66" s="1">
        <v>1</v>
      </c>
      <c r="DG66" s="1"/>
      <c r="DH66" s="1"/>
      <c r="DI66" s="1"/>
      <c r="DJ66" s="1">
        <v>1</v>
      </c>
      <c r="DK66" s="1"/>
      <c r="DL66" s="1"/>
      <c r="DM66" s="1">
        <v>1</v>
      </c>
      <c r="DN66" s="1"/>
      <c r="DO66" s="1"/>
      <c r="DP66" s="1"/>
      <c r="DQ66" s="1">
        <v>1</v>
      </c>
      <c r="DR66" s="1"/>
      <c r="DS66" s="1"/>
      <c r="DT66" s="7">
        <v>3</v>
      </c>
      <c r="DU66" s="7">
        <v>2</v>
      </c>
      <c r="DV66" s="1"/>
      <c r="DW66" s="1"/>
      <c r="DX66" s="7">
        <v>2800</v>
      </c>
      <c r="DY66" s="7">
        <v>1700</v>
      </c>
      <c r="DZ66" s="1"/>
      <c r="EA66" s="1"/>
      <c r="EB66" s="1"/>
      <c r="EC66" s="1" t="s">
        <v>111</v>
      </c>
      <c r="ED66" s="1" t="s">
        <v>112</v>
      </c>
      <c r="EE66" s="1">
        <v>1</v>
      </c>
      <c r="EF66" s="1">
        <v>1</v>
      </c>
      <c r="EG66" s="1" t="s">
        <v>113</v>
      </c>
      <c r="EH66" s="1" t="s">
        <v>114</v>
      </c>
      <c r="EI66" s="1" t="s">
        <v>111</v>
      </c>
      <c r="EJ66" s="1" t="s">
        <v>114</v>
      </c>
      <c r="EK66" s="1">
        <v>6</v>
      </c>
      <c r="EL66" s="1">
        <v>5</v>
      </c>
    </row>
    <row r="67" spans="1:142" x14ac:dyDescent="0.25">
      <c r="A67" s="5">
        <v>63</v>
      </c>
      <c r="B67" s="17" t="s">
        <v>240</v>
      </c>
      <c r="C67" s="1" t="s">
        <v>241</v>
      </c>
      <c r="D67" s="35">
        <v>45366</v>
      </c>
      <c r="E67" s="1">
        <v>2</v>
      </c>
      <c r="F67" s="36"/>
      <c r="G67" s="1">
        <v>1</v>
      </c>
      <c r="H67" s="1">
        <v>40</v>
      </c>
      <c r="I67" s="1">
        <v>5</v>
      </c>
      <c r="J67" s="1">
        <v>1</v>
      </c>
      <c r="K67" s="1">
        <v>0</v>
      </c>
      <c r="L67" s="1">
        <f t="shared" si="0"/>
        <v>0</v>
      </c>
      <c r="M67" s="1" t="s">
        <v>107</v>
      </c>
      <c r="N67" s="1" t="s">
        <v>108</v>
      </c>
      <c r="O67" s="1" t="s">
        <v>144</v>
      </c>
      <c r="P67" s="1" t="s">
        <v>110</v>
      </c>
      <c r="Q67" s="1" t="s">
        <v>110</v>
      </c>
      <c r="R67" s="7">
        <v>1</v>
      </c>
      <c r="S67" s="1">
        <v>5</v>
      </c>
      <c r="T67" s="1">
        <v>0</v>
      </c>
      <c r="U67" s="1"/>
      <c r="V67" s="1"/>
      <c r="W67" s="1"/>
      <c r="X67" s="1"/>
      <c r="Y67" s="1"/>
      <c r="Z67" s="3"/>
      <c r="AA67" s="3">
        <v>2</v>
      </c>
      <c r="AB67" s="3"/>
      <c r="AC67" s="3">
        <v>1</v>
      </c>
      <c r="AD67" s="3">
        <v>1</v>
      </c>
      <c r="AE67" s="3">
        <v>2</v>
      </c>
      <c r="AF67" s="1"/>
      <c r="AG67" s="1">
        <v>1</v>
      </c>
      <c r="AH67" s="1"/>
      <c r="AI67" s="1"/>
      <c r="AJ67" s="1"/>
      <c r="AK67" s="1"/>
      <c r="AL67" s="1"/>
      <c r="AM67" s="1"/>
      <c r="AN67" s="7">
        <v>7</v>
      </c>
      <c r="AO67" s="7">
        <v>6</v>
      </c>
      <c r="AP67" s="7">
        <f t="shared" si="10"/>
        <v>0.39</v>
      </c>
      <c r="AQ67" s="7">
        <f t="shared" si="1"/>
        <v>15.384615384615383</v>
      </c>
      <c r="AR67" s="7">
        <f t="shared" si="2"/>
        <v>0</v>
      </c>
      <c r="AS67" s="7">
        <f t="shared" si="3"/>
        <v>0.33333333333333331</v>
      </c>
      <c r="AT67" s="7">
        <f t="shared" si="4"/>
        <v>0</v>
      </c>
      <c r="AU67" s="7">
        <f t="shared" si="5"/>
        <v>7.6923076923076916</v>
      </c>
      <c r="AV67" s="7">
        <f t="shared" si="6"/>
        <v>7.6923076923076916</v>
      </c>
      <c r="AW67" s="7">
        <f t="shared" si="7"/>
        <v>15.384615384615383</v>
      </c>
      <c r="AX67" s="7">
        <f t="shared" si="8"/>
        <v>38.46153846153846</v>
      </c>
      <c r="AY67" s="7">
        <v>0.33333333330000003</v>
      </c>
      <c r="AZ67" s="18">
        <v>12</v>
      </c>
      <c r="BA67" s="18">
        <v>72</v>
      </c>
      <c r="BB67" s="7">
        <v>1</v>
      </c>
      <c r="BC67" s="7">
        <v>97</v>
      </c>
      <c r="BD67" s="7">
        <f t="shared" si="9"/>
        <v>16.166666666666668</v>
      </c>
      <c r="BE67" s="5">
        <v>0</v>
      </c>
      <c r="BF67" s="1">
        <v>0</v>
      </c>
      <c r="BG67" s="7">
        <v>6480</v>
      </c>
      <c r="BH67" s="7">
        <v>30000</v>
      </c>
      <c r="BI67" s="7">
        <v>1300</v>
      </c>
      <c r="BJ67" s="7">
        <v>26</v>
      </c>
      <c r="BK67" s="1"/>
      <c r="BL67" s="1"/>
      <c r="BM67" s="1">
        <v>1</v>
      </c>
      <c r="BN67" s="1"/>
      <c r="BO67" s="1"/>
      <c r="BP67" s="1"/>
      <c r="BQ67" s="1"/>
      <c r="BR67" s="1"/>
      <c r="BS67" s="1"/>
      <c r="BT67" s="1">
        <v>2</v>
      </c>
      <c r="BU67" s="1">
        <v>1</v>
      </c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7">
        <v>2</v>
      </c>
      <c r="CV67" s="7">
        <v>2</v>
      </c>
      <c r="CW67" s="7">
        <v>0</v>
      </c>
      <c r="CX67" s="7">
        <v>8</v>
      </c>
      <c r="CY67" s="1">
        <v>4</v>
      </c>
      <c r="CZ67" s="1"/>
      <c r="DA67" s="7">
        <v>1</v>
      </c>
      <c r="DB67" s="1"/>
      <c r="DC67" s="1">
        <v>1</v>
      </c>
      <c r="DD67" s="1"/>
      <c r="DE67" s="1"/>
      <c r="DF67" s="1">
        <v>1</v>
      </c>
      <c r="DG67" s="1"/>
      <c r="DH67" s="1"/>
      <c r="DI67" s="1"/>
      <c r="DJ67" s="1">
        <v>1</v>
      </c>
      <c r="DK67" s="1"/>
      <c r="DL67" s="1"/>
      <c r="DM67" s="1">
        <v>1</v>
      </c>
      <c r="DN67" s="1"/>
      <c r="DO67" s="1">
        <v>1</v>
      </c>
      <c r="DP67" s="1"/>
      <c r="DQ67" s="1">
        <v>1</v>
      </c>
      <c r="DR67" s="1"/>
      <c r="DS67" s="1"/>
      <c r="DT67" s="7">
        <v>3</v>
      </c>
      <c r="DU67" s="7">
        <v>3</v>
      </c>
      <c r="DV67" s="1"/>
      <c r="DW67" s="1"/>
      <c r="DX67" s="7">
        <v>1100</v>
      </c>
      <c r="DY67" s="7">
        <v>1100</v>
      </c>
      <c r="DZ67" s="1"/>
      <c r="EA67" s="1"/>
      <c r="EB67" s="1"/>
      <c r="EC67" s="1" t="s">
        <v>111</v>
      </c>
      <c r="ED67" s="1" t="s">
        <v>112</v>
      </c>
      <c r="EE67" s="1">
        <v>1</v>
      </c>
      <c r="EF67" s="1">
        <v>1</v>
      </c>
      <c r="EG67" s="1" t="s">
        <v>113</v>
      </c>
      <c r="EH67" s="1" t="s">
        <v>114</v>
      </c>
      <c r="EI67" s="1" t="s">
        <v>111</v>
      </c>
      <c r="EJ67" s="1" t="s">
        <v>114</v>
      </c>
      <c r="EK67" s="1">
        <v>5</v>
      </c>
      <c r="EL67" s="1">
        <v>5</v>
      </c>
    </row>
    <row r="68" spans="1:142" x14ac:dyDescent="0.25">
      <c r="A68" s="5">
        <v>64</v>
      </c>
      <c r="B68" s="17" t="s">
        <v>242</v>
      </c>
      <c r="C68" s="1" t="s">
        <v>243</v>
      </c>
      <c r="D68" s="35">
        <v>45366</v>
      </c>
      <c r="E68" s="1">
        <v>2</v>
      </c>
      <c r="F68" s="36">
        <v>1</v>
      </c>
      <c r="G68" s="1">
        <v>1</v>
      </c>
      <c r="H68" s="1">
        <v>45</v>
      </c>
      <c r="I68" s="1">
        <v>4</v>
      </c>
      <c r="J68" s="1">
        <v>1</v>
      </c>
      <c r="K68" s="1">
        <v>0</v>
      </c>
      <c r="L68" s="1">
        <f t="shared" si="0"/>
        <v>0</v>
      </c>
      <c r="M68" s="1" t="s">
        <v>107</v>
      </c>
      <c r="N68" s="1" t="s">
        <v>141</v>
      </c>
      <c r="O68" s="1" t="s">
        <v>109</v>
      </c>
      <c r="P68" s="1" t="s">
        <v>110</v>
      </c>
      <c r="Q68" s="1" t="s">
        <v>110</v>
      </c>
      <c r="R68" s="7">
        <v>2</v>
      </c>
      <c r="S68" s="1">
        <v>4</v>
      </c>
      <c r="T68" s="1">
        <v>0</v>
      </c>
      <c r="U68" s="1">
        <v>2</v>
      </c>
      <c r="V68" s="1"/>
      <c r="W68" s="1"/>
      <c r="X68" s="1"/>
      <c r="Y68" s="1">
        <v>1</v>
      </c>
      <c r="Z68" s="3"/>
      <c r="AA68" s="3">
        <v>1</v>
      </c>
      <c r="AB68" s="3"/>
      <c r="AC68" s="3"/>
      <c r="AD68" s="3">
        <v>1</v>
      </c>
      <c r="AE68" s="3">
        <v>2</v>
      </c>
      <c r="AF68" s="1"/>
      <c r="AG68" s="1">
        <v>1</v>
      </c>
      <c r="AH68" s="1"/>
      <c r="AI68" s="1"/>
      <c r="AJ68" s="1"/>
      <c r="AK68" s="1"/>
      <c r="AL68" s="1"/>
      <c r="AM68" s="1"/>
      <c r="AN68" s="7">
        <v>10</v>
      </c>
      <c r="AO68" s="7">
        <v>4</v>
      </c>
      <c r="AP68" s="7">
        <f t="shared" si="10"/>
        <v>0.33000000000000007</v>
      </c>
      <c r="AQ68" s="7">
        <f t="shared" si="1"/>
        <v>9.0909090909090882</v>
      </c>
      <c r="AR68" s="7">
        <f t="shared" si="2"/>
        <v>0</v>
      </c>
      <c r="AS68" s="7">
        <f t="shared" si="3"/>
        <v>0.25</v>
      </c>
      <c r="AT68" s="7">
        <f t="shared" si="4"/>
        <v>0</v>
      </c>
      <c r="AU68" s="7">
        <f t="shared" si="5"/>
        <v>0</v>
      </c>
      <c r="AV68" s="7">
        <f t="shared" si="6"/>
        <v>9.0909090909090882</v>
      </c>
      <c r="AW68" s="7">
        <f t="shared" si="7"/>
        <v>18.181818181818176</v>
      </c>
      <c r="AX68" s="7">
        <f t="shared" si="8"/>
        <v>27.272727272727266</v>
      </c>
      <c r="AY68" s="7">
        <v>0.75</v>
      </c>
      <c r="AZ68" s="18">
        <v>11.5</v>
      </c>
      <c r="BA68" s="18">
        <v>46</v>
      </c>
      <c r="BB68" s="7">
        <v>0.5</v>
      </c>
      <c r="BC68" s="7">
        <v>70</v>
      </c>
      <c r="BD68" s="7">
        <f t="shared" si="9"/>
        <v>17.5</v>
      </c>
      <c r="BE68" s="5">
        <v>0</v>
      </c>
      <c r="BF68" s="1">
        <v>0</v>
      </c>
      <c r="BG68" s="7">
        <v>5560</v>
      </c>
      <c r="BH68" s="7">
        <v>15000</v>
      </c>
      <c r="BI68" s="7">
        <v>800</v>
      </c>
      <c r="BJ68" s="7">
        <v>16</v>
      </c>
      <c r="BK68" s="1"/>
      <c r="BL68" s="1"/>
      <c r="BM68" s="1"/>
      <c r="BN68" s="1"/>
      <c r="BO68" s="1"/>
      <c r="BP68" s="1"/>
      <c r="BQ68" s="1"/>
      <c r="BR68" s="1"/>
      <c r="BS68" s="1"/>
      <c r="BT68" s="1">
        <v>1</v>
      </c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7">
        <v>6</v>
      </c>
      <c r="CV68" s="7">
        <v>2</v>
      </c>
      <c r="CW68" s="7">
        <v>0</v>
      </c>
      <c r="CX68" s="7">
        <v>8</v>
      </c>
      <c r="CY68" s="1">
        <v>2</v>
      </c>
      <c r="CZ68" s="1"/>
      <c r="DA68" s="7">
        <v>1</v>
      </c>
      <c r="DB68" s="1"/>
      <c r="DC68" s="1"/>
      <c r="DD68" s="1"/>
      <c r="DE68" s="1"/>
      <c r="DF68" s="1">
        <v>1</v>
      </c>
      <c r="DG68" s="1"/>
      <c r="DH68" s="1"/>
      <c r="DI68" s="1"/>
      <c r="DJ68" s="1">
        <v>1</v>
      </c>
      <c r="DK68" s="1"/>
      <c r="DL68" s="1"/>
      <c r="DM68" s="1">
        <v>1</v>
      </c>
      <c r="DN68" s="1"/>
      <c r="DO68" s="1"/>
      <c r="DP68" s="1"/>
      <c r="DQ68" s="1">
        <v>1</v>
      </c>
      <c r="DR68" s="1"/>
      <c r="DS68" s="1"/>
      <c r="DT68" s="7">
        <v>3</v>
      </c>
      <c r="DU68" s="7">
        <v>1</v>
      </c>
      <c r="DV68" s="7">
        <v>101000</v>
      </c>
      <c r="DW68" s="1"/>
      <c r="DX68" s="7">
        <v>800</v>
      </c>
      <c r="DY68" s="7">
        <v>1100</v>
      </c>
      <c r="DZ68" s="1"/>
      <c r="EA68" s="1"/>
      <c r="EB68" s="1"/>
      <c r="EC68" s="1" t="s">
        <v>111</v>
      </c>
      <c r="ED68" s="1" t="s">
        <v>112</v>
      </c>
      <c r="EE68" s="1">
        <v>1</v>
      </c>
      <c r="EF68" s="1">
        <v>1</v>
      </c>
      <c r="EG68" s="1" t="s">
        <v>113</v>
      </c>
      <c r="EH68" s="1" t="s">
        <v>114</v>
      </c>
      <c r="EI68" s="1" t="s">
        <v>111</v>
      </c>
      <c r="EJ68" s="1" t="s">
        <v>114</v>
      </c>
      <c r="EK68" s="1">
        <v>6</v>
      </c>
      <c r="EL68" s="1">
        <v>4</v>
      </c>
    </row>
    <row r="69" spans="1:142" x14ac:dyDescent="0.25">
      <c r="A69" s="5">
        <v>65</v>
      </c>
      <c r="B69" s="17" t="s">
        <v>244</v>
      </c>
      <c r="C69" s="1" t="s">
        <v>245</v>
      </c>
      <c r="D69" s="35">
        <v>45366</v>
      </c>
      <c r="E69" s="1">
        <v>2</v>
      </c>
      <c r="F69" s="36"/>
      <c r="G69" s="1">
        <v>1</v>
      </c>
      <c r="H69" s="1">
        <v>65</v>
      </c>
      <c r="I69" s="1">
        <v>40</v>
      </c>
      <c r="J69" s="1">
        <v>10</v>
      </c>
      <c r="K69" s="1">
        <v>0</v>
      </c>
      <c r="L69" s="1">
        <f t="shared" si="0"/>
        <v>0</v>
      </c>
      <c r="M69" s="1" t="s">
        <v>107</v>
      </c>
      <c r="N69" s="1" t="s">
        <v>120</v>
      </c>
      <c r="O69" s="1" t="s">
        <v>109</v>
      </c>
      <c r="P69" s="1" t="s">
        <v>110</v>
      </c>
      <c r="Q69" s="1" t="s">
        <v>110</v>
      </c>
      <c r="R69" s="7">
        <v>2</v>
      </c>
      <c r="S69" s="1">
        <v>8</v>
      </c>
      <c r="T69" s="1">
        <v>0</v>
      </c>
      <c r="U69" s="1"/>
      <c r="V69" s="1"/>
      <c r="W69" s="1"/>
      <c r="X69" s="1"/>
      <c r="Y69" s="1"/>
      <c r="Z69" s="3"/>
      <c r="AA69" s="3">
        <v>1</v>
      </c>
      <c r="AB69" s="3"/>
      <c r="AC69" s="3">
        <v>1</v>
      </c>
      <c r="AD69" s="3">
        <v>1</v>
      </c>
      <c r="AE69" s="3">
        <v>2</v>
      </c>
      <c r="AF69" s="1"/>
      <c r="AG69" s="1">
        <v>1</v>
      </c>
      <c r="AH69" s="1"/>
      <c r="AI69" s="1"/>
      <c r="AJ69" s="1"/>
      <c r="AK69" s="1"/>
      <c r="AL69" s="1">
        <v>1</v>
      </c>
      <c r="AM69" s="1">
        <v>4</v>
      </c>
      <c r="AN69" s="7">
        <v>8</v>
      </c>
      <c r="AO69" s="7">
        <v>5</v>
      </c>
      <c r="AP69" s="7">
        <f t="shared" si="10"/>
        <v>0.36000000000000004</v>
      </c>
      <c r="AQ69" s="7">
        <f t="shared" si="1"/>
        <v>8.3333333333333321</v>
      </c>
      <c r="AR69" s="7">
        <f t="shared" si="2"/>
        <v>0</v>
      </c>
      <c r="AS69" s="7">
        <f t="shared" si="3"/>
        <v>0.2</v>
      </c>
      <c r="AT69" s="7">
        <f t="shared" si="4"/>
        <v>0</v>
      </c>
      <c r="AU69" s="7">
        <f t="shared" si="5"/>
        <v>8.3333333333333321</v>
      </c>
      <c r="AV69" s="7">
        <f t="shared" si="6"/>
        <v>8.3333333333333321</v>
      </c>
      <c r="AW69" s="7">
        <f t="shared" si="7"/>
        <v>16.666666666666664</v>
      </c>
      <c r="AX69" s="7">
        <f t="shared" si="8"/>
        <v>33.333333333333329</v>
      </c>
      <c r="AY69" s="7">
        <v>0.4</v>
      </c>
      <c r="AZ69" s="18">
        <v>13.6</v>
      </c>
      <c r="BA69" s="18">
        <v>68</v>
      </c>
      <c r="BB69" s="7">
        <v>0.5</v>
      </c>
      <c r="BC69" s="7">
        <v>89</v>
      </c>
      <c r="BD69" s="7">
        <f t="shared" si="9"/>
        <v>17.8</v>
      </c>
      <c r="BE69" s="5">
        <v>0</v>
      </c>
      <c r="BF69" s="1">
        <v>0</v>
      </c>
      <c r="BG69" s="7">
        <v>6550</v>
      </c>
      <c r="BH69" s="7">
        <v>30000</v>
      </c>
      <c r="BI69" s="7">
        <v>1100</v>
      </c>
      <c r="BJ69" s="7">
        <v>22</v>
      </c>
      <c r="BK69" s="1"/>
      <c r="BL69" s="1"/>
      <c r="BM69" s="1">
        <v>1</v>
      </c>
      <c r="BN69" s="1"/>
      <c r="BO69" s="1"/>
      <c r="BP69" s="1"/>
      <c r="BQ69" s="1"/>
      <c r="BR69" s="1"/>
      <c r="BS69" s="1"/>
      <c r="BT69" s="1">
        <v>1</v>
      </c>
      <c r="BU69" s="1">
        <v>1</v>
      </c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7">
        <v>6</v>
      </c>
      <c r="CV69" s="7">
        <v>2</v>
      </c>
      <c r="CW69" s="7">
        <v>0</v>
      </c>
      <c r="CX69" s="7">
        <v>8</v>
      </c>
      <c r="CY69" s="1">
        <v>4</v>
      </c>
      <c r="CZ69" s="1"/>
      <c r="DA69" s="7">
        <v>1</v>
      </c>
      <c r="DB69" s="1"/>
      <c r="DC69" s="1"/>
      <c r="DD69" s="1"/>
      <c r="DE69" s="1"/>
      <c r="DF69" s="1">
        <v>1</v>
      </c>
      <c r="DG69" s="1"/>
      <c r="DH69" s="1"/>
      <c r="DI69" s="1"/>
      <c r="DJ69" s="1">
        <v>1</v>
      </c>
      <c r="DK69" s="1"/>
      <c r="DL69" s="1"/>
      <c r="DM69" s="1">
        <v>1</v>
      </c>
      <c r="DN69" s="1"/>
      <c r="DO69" s="1"/>
      <c r="DP69" s="1"/>
      <c r="DQ69" s="1">
        <v>1</v>
      </c>
      <c r="DR69" s="1"/>
      <c r="DS69" s="1"/>
      <c r="DT69" s="7">
        <v>3</v>
      </c>
      <c r="DU69" s="7">
        <v>1</v>
      </c>
      <c r="DV69" s="7">
        <v>116700</v>
      </c>
      <c r="DW69" s="1"/>
      <c r="DX69" s="7">
        <v>900</v>
      </c>
      <c r="DY69" s="7">
        <v>0</v>
      </c>
      <c r="DZ69" s="1"/>
      <c r="EA69" s="1"/>
      <c r="EB69" s="1"/>
      <c r="EC69" s="1" t="s">
        <v>111</v>
      </c>
      <c r="ED69" s="1" t="s">
        <v>112</v>
      </c>
      <c r="EE69" s="1">
        <v>1</v>
      </c>
      <c r="EF69" s="1">
        <v>1</v>
      </c>
      <c r="EG69" s="1" t="s">
        <v>113</v>
      </c>
      <c r="EH69" s="1" t="s">
        <v>114</v>
      </c>
      <c r="EI69" s="1" t="s">
        <v>111</v>
      </c>
      <c r="EJ69" s="1" t="s">
        <v>114</v>
      </c>
      <c r="EK69" s="1">
        <v>6</v>
      </c>
      <c r="EL69" s="1">
        <v>4</v>
      </c>
    </row>
    <row r="70" spans="1:142" x14ac:dyDescent="0.25">
      <c r="A70" s="5">
        <v>66</v>
      </c>
      <c r="B70" s="17" t="s">
        <v>246</v>
      </c>
      <c r="C70" s="1" t="s">
        <v>247</v>
      </c>
      <c r="D70" s="35">
        <v>45366</v>
      </c>
      <c r="E70" s="1">
        <v>2</v>
      </c>
      <c r="F70" s="36"/>
      <c r="G70" s="1">
        <v>1</v>
      </c>
      <c r="H70" s="1">
        <v>26</v>
      </c>
      <c r="I70" s="1">
        <v>0</v>
      </c>
      <c r="J70" s="1">
        <v>3</v>
      </c>
      <c r="K70" s="1">
        <v>6</v>
      </c>
      <c r="L70" s="1">
        <f t="shared" ref="L70:L133" si="11">IF(K70=0,0,IF(K70&lt;=5,1,IF(K70&lt;=9,2,IF(K70&lt;=11,3,IF(K70=12,4,IF(K70=13,5,""))))))</f>
        <v>2</v>
      </c>
      <c r="M70" s="1" t="s">
        <v>107</v>
      </c>
      <c r="N70" s="1" t="s">
        <v>108</v>
      </c>
      <c r="O70" s="1" t="s">
        <v>109</v>
      </c>
      <c r="P70" s="1" t="s">
        <v>110</v>
      </c>
      <c r="Q70" s="1" t="s">
        <v>110</v>
      </c>
      <c r="R70" s="7">
        <v>3</v>
      </c>
      <c r="S70" s="1">
        <v>8</v>
      </c>
      <c r="T70" s="1">
        <v>0</v>
      </c>
      <c r="U70" s="1"/>
      <c r="V70" s="1"/>
      <c r="W70" s="1"/>
      <c r="X70" s="1"/>
      <c r="Y70" s="1"/>
      <c r="Z70" s="3"/>
      <c r="AA70" s="3"/>
      <c r="AB70" s="3">
        <v>1</v>
      </c>
      <c r="AC70" s="3">
        <v>1</v>
      </c>
      <c r="AD70" s="3"/>
      <c r="AE70" s="3">
        <v>2</v>
      </c>
      <c r="AF70" s="1">
        <v>1</v>
      </c>
      <c r="AG70" s="1"/>
      <c r="AH70" s="1"/>
      <c r="AI70" s="1"/>
      <c r="AJ70" s="1"/>
      <c r="AK70" s="1"/>
      <c r="AL70" s="1">
        <v>2</v>
      </c>
      <c r="AM70" s="1">
        <v>5</v>
      </c>
      <c r="AN70" s="7">
        <v>7</v>
      </c>
      <c r="AO70" s="7">
        <v>4</v>
      </c>
      <c r="AP70" s="7">
        <f t="shared" si="10"/>
        <v>0.26</v>
      </c>
      <c r="AQ70" s="7">
        <f t="shared" ref="AQ70:AQ133" si="12">(((Z70+AA70)*0.03)/AP70)*100</f>
        <v>0</v>
      </c>
      <c r="AR70" s="7">
        <f t="shared" ref="AR70:AR133" si="13">Z70/AO70</f>
        <v>0</v>
      </c>
      <c r="AS70" s="7">
        <f t="shared" ref="AS70:AS133" si="14">AA70/AO70</f>
        <v>0</v>
      </c>
      <c r="AT70" s="7">
        <f t="shared" ref="AT70:AT133" si="15">((AB70*0.03)/AP70)*100</f>
        <v>11.538461538461538</v>
      </c>
      <c r="AU70" s="7">
        <f t="shared" ref="AU70:AU133" si="16">((AC70*0.03)/AP70)*100</f>
        <v>11.538461538461538</v>
      </c>
      <c r="AV70" s="7">
        <f t="shared" ref="AV70:AV133" si="17">((AD70*0.03)/AP70)*100</f>
        <v>0</v>
      </c>
      <c r="AW70" s="7">
        <f t="shared" ref="AW70:AW133" si="18">((AE70*0.03)/AP70)*100</f>
        <v>23.076923076923077</v>
      </c>
      <c r="AX70" s="7">
        <f t="shared" ref="AX70:AX133" si="19">(((AA70+AC70+AE70)*0.03)/AP70)*100</f>
        <v>34.615384615384613</v>
      </c>
      <c r="AY70" s="7">
        <v>0.5</v>
      </c>
      <c r="AZ70" s="18">
        <v>11.75</v>
      </c>
      <c r="BA70" s="18">
        <v>47</v>
      </c>
      <c r="BB70" s="7">
        <v>0</v>
      </c>
      <c r="BC70" s="7">
        <v>66</v>
      </c>
      <c r="BD70" s="7">
        <f t="shared" ref="BD70:BD133" si="20">BC70/AO70</f>
        <v>16.5</v>
      </c>
      <c r="BE70" s="5">
        <v>0</v>
      </c>
      <c r="BF70" s="1">
        <v>0</v>
      </c>
      <c r="BG70" s="7">
        <v>4760</v>
      </c>
      <c r="BH70" s="7">
        <v>15000</v>
      </c>
      <c r="BI70" s="7">
        <v>800</v>
      </c>
      <c r="BJ70" s="7">
        <v>16</v>
      </c>
      <c r="BK70" s="1"/>
      <c r="BL70" s="1"/>
      <c r="BM70" s="1"/>
      <c r="BN70" s="1"/>
      <c r="BO70" s="1"/>
      <c r="BP70" s="1"/>
      <c r="BQ70" s="1"/>
      <c r="BR70" s="1">
        <v>1</v>
      </c>
      <c r="BS70" s="1"/>
      <c r="BT70" s="1"/>
      <c r="BU70" s="1">
        <v>1</v>
      </c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7">
        <v>6</v>
      </c>
      <c r="CV70" s="7">
        <v>2</v>
      </c>
      <c r="CW70" s="7">
        <v>0</v>
      </c>
      <c r="CX70" s="7">
        <v>8</v>
      </c>
      <c r="CY70" s="1">
        <v>2</v>
      </c>
      <c r="CZ70" s="1"/>
      <c r="DA70" s="7">
        <v>1</v>
      </c>
      <c r="DB70" s="1"/>
      <c r="DC70" s="1">
        <v>1</v>
      </c>
      <c r="DD70" s="1"/>
      <c r="DE70" s="1"/>
      <c r="DF70" s="1">
        <v>1</v>
      </c>
      <c r="DG70" s="1"/>
      <c r="DH70" s="1"/>
      <c r="DI70" s="1"/>
      <c r="DJ70" s="1">
        <v>1</v>
      </c>
      <c r="DK70" s="1"/>
      <c r="DL70" s="1"/>
      <c r="DM70" s="1">
        <v>1</v>
      </c>
      <c r="DN70" s="1"/>
      <c r="DO70" s="1">
        <v>1</v>
      </c>
      <c r="DP70" s="1"/>
      <c r="DQ70" s="1">
        <v>1</v>
      </c>
      <c r="DR70" s="1"/>
      <c r="DS70" s="1"/>
      <c r="DT70" s="7">
        <v>3</v>
      </c>
      <c r="DU70" s="7">
        <v>3</v>
      </c>
      <c r="DV70" s="1"/>
      <c r="DW70" s="1"/>
      <c r="DX70" s="7">
        <v>700</v>
      </c>
      <c r="DY70" s="7">
        <v>1300</v>
      </c>
      <c r="DZ70" s="1"/>
      <c r="EA70" s="1"/>
      <c r="EB70" s="1"/>
      <c r="EC70" s="1" t="s">
        <v>111</v>
      </c>
      <c r="ED70" s="1" t="s">
        <v>112</v>
      </c>
      <c r="EE70" s="1">
        <v>1</v>
      </c>
      <c r="EF70" s="1">
        <v>1</v>
      </c>
      <c r="EG70" s="1" t="s">
        <v>113</v>
      </c>
      <c r="EH70" s="1" t="s">
        <v>114</v>
      </c>
      <c r="EI70" s="1" t="s">
        <v>111</v>
      </c>
      <c r="EJ70" s="1" t="s">
        <v>114</v>
      </c>
      <c r="EK70" s="1">
        <v>5</v>
      </c>
      <c r="EL70" s="1">
        <v>4</v>
      </c>
    </row>
    <row r="71" spans="1:142" x14ac:dyDescent="0.25">
      <c r="A71" s="5">
        <v>67</v>
      </c>
      <c r="B71" s="17" t="s">
        <v>130</v>
      </c>
      <c r="C71" s="1" t="s">
        <v>248</v>
      </c>
      <c r="D71" s="35">
        <v>45366</v>
      </c>
      <c r="E71" s="1">
        <v>2</v>
      </c>
      <c r="F71" s="36"/>
      <c r="G71" s="1">
        <v>1</v>
      </c>
      <c r="H71" s="1">
        <v>40</v>
      </c>
      <c r="I71" s="1">
        <v>0</v>
      </c>
      <c r="J71" s="1">
        <v>4</v>
      </c>
      <c r="K71" s="1">
        <v>10</v>
      </c>
      <c r="L71" s="1">
        <f t="shared" si="11"/>
        <v>3</v>
      </c>
      <c r="M71" s="1" t="s">
        <v>107</v>
      </c>
      <c r="N71" s="1" t="s">
        <v>108</v>
      </c>
      <c r="O71" s="1" t="s">
        <v>117</v>
      </c>
      <c r="P71" s="1" t="s">
        <v>110</v>
      </c>
      <c r="Q71" s="1" t="s">
        <v>110</v>
      </c>
      <c r="R71" s="7">
        <v>1</v>
      </c>
      <c r="S71" s="1">
        <v>2</v>
      </c>
      <c r="T71" s="1">
        <v>0</v>
      </c>
      <c r="U71" s="1"/>
      <c r="V71" s="1"/>
      <c r="W71" s="1"/>
      <c r="X71" s="1"/>
      <c r="Y71" s="1"/>
      <c r="Z71" s="3"/>
      <c r="AA71" s="3">
        <v>1</v>
      </c>
      <c r="AB71" s="3"/>
      <c r="AC71" s="3"/>
      <c r="AD71" s="3"/>
      <c r="AE71" s="3">
        <v>2</v>
      </c>
      <c r="AF71" s="1"/>
      <c r="AG71" s="1"/>
      <c r="AH71" s="1"/>
      <c r="AI71" s="1"/>
      <c r="AJ71" s="1"/>
      <c r="AK71" s="1"/>
      <c r="AL71" s="1"/>
      <c r="AM71" s="1"/>
      <c r="AN71" s="7">
        <v>7</v>
      </c>
      <c r="AO71" s="7">
        <v>3</v>
      </c>
      <c r="AP71" s="7">
        <f t="shared" ref="AP71:AP134" si="21">(AD71+AE71)*0.1+(AB71+AC71+Z71+AA71)*0.03</f>
        <v>0.23</v>
      </c>
      <c r="AQ71" s="7">
        <f t="shared" si="12"/>
        <v>13.043478260869565</v>
      </c>
      <c r="AR71" s="7">
        <f t="shared" si="13"/>
        <v>0</v>
      </c>
      <c r="AS71" s="7">
        <f t="shared" si="14"/>
        <v>0.33333333333333331</v>
      </c>
      <c r="AT71" s="7">
        <f t="shared" si="15"/>
        <v>0</v>
      </c>
      <c r="AU71" s="7">
        <f t="shared" si="16"/>
        <v>0</v>
      </c>
      <c r="AV71" s="7">
        <f t="shared" si="17"/>
        <v>0</v>
      </c>
      <c r="AW71" s="7">
        <f t="shared" si="18"/>
        <v>26.086956521739129</v>
      </c>
      <c r="AX71" s="7">
        <f t="shared" si="19"/>
        <v>39.130434782608688</v>
      </c>
      <c r="AY71" s="7">
        <v>0.66666666669999997</v>
      </c>
      <c r="AZ71" s="18">
        <v>11.333333333333334</v>
      </c>
      <c r="BA71" s="18">
        <v>34</v>
      </c>
      <c r="BB71" s="7">
        <v>0.5</v>
      </c>
      <c r="BC71" s="7">
        <v>53</v>
      </c>
      <c r="BD71" s="7">
        <f t="shared" si="20"/>
        <v>17.666666666666668</v>
      </c>
      <c r="BE71" s="5">
        <v>0</v>
      </c>
      <c r="BF71" s="1">
        <v>0</v>
      </c>
      <c r="BG71" s="7">
        <v>3780</v>
      </c>
      <c r="BH71" s="7">
        <v>15000</v>
      </c>
      <c r="BI71" s="7">
        <v>700</v>
      </c>
      <c r="BJ71" s="7">
        <v>14</v>
      </c>
      <c r="BK71" s="1"/>
      <c r="BL71" s="1"/>
      <c r="BM71" s="1"/>
      <c r="BN71" s="1"/>
      <c r="BO71" s="1"/>
      <c r="BP71" s="1"/>
      <c r="BQ71" s="1"/>
      <c r="BR71" s="1"/>
      <c r="BS71" s="1"/>
      <c r="BT71" s="1">
        <v>1</v>
      </c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7">
        <v>6</v>
      </c>
      <c r="CV71" s="7">
        <v>2</v>
      </c>
      <c r="CW71" s="7">
        <v>0</v>
      </c>
      <c r="CX71" s="7">
        <v>8</v>
      </c>
      <c r="CY71" s="1">
        <v>2</v>
      </c>
      <c r="CZ71" s="1"/>
      <c r="DA71" s="7">
        <v>1</v>
      </c>
      <c r="DB71" s="1"/>
      <c r="DC71" s="1"/>
      <c r="DD71" s="1"/>
      <c r="DE71" s="1"/>
      <c r="DF71" s="1">
        <v>1</v>
      </c>
      <c r="DG71" s="1"/>
      <c r="DH71" s="1"/>
      <c r="DI71" s="1"/>
      <c r="DJ71" s="1">
        <v>1</v>
      </c>
      <c r="DK71" s="1"/>
      <c r="DL71" s="1"/>
      <c r="DM71" s="1">
        <v>1</v>
      </c>
      <c r="DN71" s="1"/>
      <c r="DO71" s="1"/>
      <c r="DP71" s="1"/>
      <c r="DQ71" s="1">
        <v>1</v>
      </c>
      <c r="DR71" s="1"/>
      <c r="DS71" s="1"/>
      <c r="DT71" s="7">
        <v>3</v>
      </c>
      <c r="DU71" s="7">
        <v>1</v>
      </c>
      <c r="DV71" s="7">
        <v>94300</v>
      </c>
      <c r="DW71" s="1"/>
      <c r="DX71" s="7">
        <v>500</v>
      </c>
      <c r="DY71" s="7">
        <v>1300</v>
      </c>
      <c r="DZ71" s="1"/>
      <c r="EA71" s="1"/>
      <c r="EB71" s="1"/>
      <c r="EC71" s="1" t="s">
        <v>111</v>
      </c>
      <c r="ED71" s="1" t="s">
        <v>112</v>
      </c>
      <c r="EE71" s="1">
        <v>1</v>
      </c>
      <c r="EF71" s="1">
        <v>1</v>
      </c>
      <c r="EG71" s="1" t="s">
        <v>113</v>
      </c>
      <c r="EH71" s="1" t="s">
        <v>114</v>
      </c>
      <c r="EI71" s="1" t="s">
        <v>111</v>
      </c>
      <c r="EJ71" s="1" t="s">
        <v>114</v>
      </c>
      <c r="EK71" s="1">
        <v>5</v>
      </c>
      <c r="EL71" s="1">
        <v>4</v>
      </c>
    </row>
    <row r="72" spans="1:142" x14ac:dyDescent="0.25">
      <c r="A72" s="5">
        <v>68</v>
      </c>
      <c r="B72" s="17" t="s">
        <v>249</v>
      </c>
      <c r="C72" s="1" t="s">
        <v>225</v>
      </c>
      <c r="D72" s="35">
        <v>45366</v>
      </c>
      <c r="E72" s="1">
        <v>2</v>
      </c>
      <c r="F72" s="36"/>
      <c r="G72" s="1">
        <v>1</v>
      </c>
      <c r="H72" s="1">
        <v>46</v>
      </c>
      <c r="I72" s="1">
        <v>25</v>
      </c>
      <c r="J72" s="1">
        <v>2</v>
      </c>
      <c r="K72" s="1">
        <v>5</v>
      </c>
      <c r="L72" s="1">
        <f t="shared" si="11"/>
        <v>1</v>
      </c>
      <c r="M72" s="1" t="s">
        <v>107</v>
      </c>
      <c r="N72" s="1" t="s">
        <v>120</v>
      </c>
      <c r="O72" s="1" t="s">
        <v>109</v>
      </c>
      <c r="P72" s="1" t="s">
        <v>110</v>
      </c>
      <c r="Q72" s="1" t="s">
        <v>110</v>
      </c>
      <c r="R72" s="7">
        <v>3</v>
      </c>
      <c r="S72" s="1">
        <v>4</v>
      </c>
      <c r="T72" s="1">
        <v>0.50575999999999999</v>
      </c>
      <c r="U72" s="1"/>
      <c r="V72" s="1"/>
      <c r="W72" s="1"/>
      <c r="X72" s="1"/>
      <c r="Y72" s="1"/>
      <c r="Z72" s="3"/>
      <c r="AA72" s="3"/>
      <c r="AB72" s="3"/>
      <c r="AC72" s="3"/>
      <c r="AD72" s="3">
        <v>1</v>
      </c>
      <c r="AE72" s="3">
        <v>2</v>
      </c>
      <c r="AF72" s="1"/>
      <c r="AG72" s="1"/>
      <c r="AH72" s="1"/>
      <c r="AI72" s="1"/>
      <c r="AJ72" s="1"/>
      <c r="AK72" s="1"/>
      <c r="AL72" s="1"/>
      <c r="AM72" s="1"/>
      <c r="AN72" s="7">
        <v>9</v>
      </c>
      <c r="AO72" s="7">
        <v>3</v>
      </c>
      <c r="AP72" s="7">
        <f t="shared" si="21"/>
        <v>0.30000000000000004</v>
      </c>
      <c r="AQ72" s="7">
        <f t="shared" si="12"/>
        <v>0</v>
      </c>
      <c r="AR72" s="7">
        <f t="shared" si="13"/>
        <v>0</v>
      </c>
      <c r="AS72" s="7">
        <f t="shared" si="14"/>
        <v>0</v>
      </c>
      <c r="AT72" s="7">
        <f t="shared" si="15"/>
        <v>0</v>
      </c>
      <c r="AU72" s="7">
        <f t="shared" si="16"/>
        <v>0</v>
      </c>
      <c r="AV72" s="7">
        <f t="shared" si="17"/>
        <v>9.9999999999999982</v>
      </c>
      <c r="AW72" s="7">
        <f t="shared" si="18"/>
        <v>19.999999999999996</v>
      </c>
      <c r="AX72" s="7">
        <f t="shared" si="19"/>
        <v>19.999999999999996</v>
      </c>
      <c r="AY72" s="7">
        <v>0.66666666669999997</v>
      </c>
      <c r="AZ72" s="18">
        <v>18.333333333333332</v>
      </c>
      <c r="BA72" s="18">
        <v>55</v>
      </c>
      <c r="BB72" s="7">
        <v>0</v>
      </c>
      <c r="BC72" s="7">
        <v>73</v>
      </c>
      <c r="BD72" s="7">
        <f t="shared" si="20"/>
        <v>24.333333333333332</v>
      </c>
      <c r="BE72" s="5">
        <v>0</v>
      </c>
      <c r="BF72" s="1">
        <v>0</v>
      </c>
      <c r="BG72" s="7">
        <v>5430</v>
      </c>
      <c r="BH72" s="7">
        <v>30000</v>
      </c>
      <c r="BI72" s="7">
        <v>600</v>
      </c>
      <c r="BJ72" s="7">
        <v>12</v>
      </c>
      <c r="BK72" s="1"/>
      <c r="BL72" s="1"/>
      <c r="BM72" s="1">
        <v>1</v>
      </c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7">
        <v>2</v>
      </c>
      <c r="CV72" s="7">
        <v>2</v>
      </c>
      <c r="CW72" s="7">
        <v>0</v>
      </c>
      <c r="CX72" s="7">
        <v>8</v>
      </c>
      <c r="CY72" s="1">
        <v>4</v>
      </c>
      <c r="CZ72" s="1"/>
      <c r="DA72" s="7">
        <v>1</v>
      </c>
      <c r="DB72" s="1"/>
      <c r="DC72" s="1"/>
      <c r="DD72" s="1"/>
      <c r="DE72" s="1"/>
      <c r="DF72" s="1">
        <v>1</v>
      </c>
      <c r="DG72" s="1"/>
      <c r="DH72" s="1"/>
      <c r="DI72" s="1"/>
      <c r="DJ72" s="1">
        <v>1</v>
      </c>
      <c r="DK72" s="1"/>
      <c r="DL72" s="1"/>
      <c r="DM72" s="1">
        <v>1</v>
      </c>
      <c r="DN72" s="1"/>
      <c r="DO72" s="1"/>
      <c r="DP72" s="1"/>
      <c r="DQ72" s="1">
        <v>1</v>
      </c>
      <c r="DR72" s="1"/>
      <c r="DS72" s="1"/>
      <c r="DT72" s="7">
        <v>3</v>
      </c>
      <c r="DU72" s="7">
        <v>1</v>
      </c>
      <c r="DV72" s="7">
        <v>90900</v>
      </c>
      <c r="DW72" s="1"/>
      <c r="DX72" s="7">
        <v>600</v>
      </c>
      <c r="DY72" s="7">
        <v>0</v>
      </c>
      <c r="DZ72" s="1"/>
      <c r="EA72" s="1"/>
      <c r="EB72" s="1"/>
      <c r="EC72" s="1" t="s">
        <v>111</v>
      </c>
      <c r="ED72" s="1" t="s">
        <v>112</v>
      </c>
      <c r="EE72" s="1">
        <v>1</v>
      </c>
      <c r="EF72" s="1">
        <v>1</v>
      </c>
      <c r="EG72" s="1" t="s">
        <v>113</v>
      </c>
      <c r="EH72" s="1" t="s">
        <v>114</v>
      </c>
      <c r="EI72" s="1" t="s">
        <v>111</v>
      </c>
      <c r="EJ72" s="1" t="s">
        <v>114</v>
      </c>
      <c r="EK72" s="1">
        <v>6</v>
      </c>
      <c r="EL72" s="1">
        <v>5</v>
      </c>
    </row>
    <row r="73" spans="1:142" x14ac:dyDescent="0.25">
      <c r="A73" s="5">
        <v>69</v>
      </c>
      <c r="B73" s="17" t="s">
        <v>250</v>
      </c>
      <c r="C73" s="1" t="s">
        <v>251</v>
      </c>
      <c r="D73" s="35">
        <v>45366</v>
      </c>
      <c r="E73" s="1">
        <v>2</v>
      </c>
      <c r="F73" s="36"/>
      <c r="G73" s="1">
        <v>1</v>
      </c>
      <c r="H73" s="1">
        <v>30</v>
      </c>
      <c r="I73" s="1">
        <v>10</v>
      </c>
      <c r="J73" s="1">
        <v>1</v>
      </c>
      <c r="K73" s="1">
        <v>0</v>
      </c>
      <c r="L73" s="1">
        <f t="shared" si="11"/>
        <v>0</v>
      </c>
      <c r="M73" s="1" t="s">
        <v>107</v>
      </c>
      <c r="N73" s="1" t="s">
        <v>120</v>
      </c>
      <c r="O73" s="1" t="s">
        <v>141</v>
      </c>
      <c r="P73" s="1" t="s">
        <v>110</v>
      </c>
      <c r="Q73" s="1" t="s">
        <v>110</v>
      </c>
      <c r="R73" s="7">
        <v>2</v>
      </c>
      <c r="S73" s="1">
        <v>7</v>
      </c>
      <c r="T73" s="1">
        <v>0</v>
      </c>
      <c r="U73" s="1"/>
      <c r="V73" s="1"/>
      <c r="W73" s="1"/>
      <c r="X73" s="1"/>
      <c r="Y73" s="1"/>
      <c r="Z73" s="3"/>
      <c r="AA73" s="3"/>
      <c r="AB73" s="3">
        <v>1</v>
      </c>
      <c r="AC73" s="3">
        <v>1</v>
      </c>
      <c r="AD73" s="3">
        <v>1</v>
      </c>
      <c r="AE73" s="3">
        <v>2</v>
      </c>
      <c r="AF73" s="1">
        <v>1</v>
      </c>
      <c r="AG73" s="1"/>
      <c r="AH73" s="1"/>
      <c r="AI73" s="1"/>
      <c r="AJ73" s="1"/>
      <c r="AK73" s="1"/>
      <c r="AL73" s="1"/>
      <c r="AM73" s="1"/>
      <c r="AN73" s="7">
        <v>6</v>
      </c>
      <c r="AO73" s="7">
        <v>5</v>
      </c>
      <c r="AP73" s="7">
        <f t="shared" si="21"/>
        <v>0.36000000000000004</v>
      </c>
      <c r="AQ73" s="7">
        <f t="shared" si="12"/>
        <v>0</v>
      </c>
      <c r="AR73" s="7">
        <f t="shared" si="13"/>
        <v>0</v>
      </c>
      <c r="AS73" s="7">
        <f t="shared" si="14"/>
        <v>0</v>
      </c>
      <c r="AT73" s="7">
        <f t="shared" si="15"/>
        <v>8.3333333333333321</v>
      </c>
      <c r="AU73" s="7">
        <f t="shared" si="16"/>
        <v>8.3333333333333321</v>
      </c>
      <c r="AV73" s="7">
        <f t="shared" si="17"/>
        <v>8.3333333333333321</v>
      </c>
      <c r="AW73" s="7">
        <f t="shared" si="18"/>
        <v>16.666666666666664</v>
      </c>
      <c r="AX73" s="7">
        <f t="shared" si="19"/>
        <v>24.999999999999996</v>
      </c>
      <c r="AY73" s="7">
        <v>0.4</v>
      </c>
      <c r="AZ73" s="18">
        <v>14</v>
      </c>
      <c r="BA73" s="18">
        <v>70</v>
      </c>
      <c r="BB73" s="7">
        <v>0</v>
      </c>
      <c r="BC73" s="7">
        <v>93</v>
      </c>
      <c r="BD73" s="7">
        <f t="shared" si="20"/>
        <v>18.600000000000001</v>
      </c>
      <c r="BE73" s="5">
        <v>0</v>
      </c>
      <c r="BF73" s="1">
        <v>0</v>
      </c>
      <c r="BG73" s="7">
        <v>6670</v>
      </c>
      <c r="BH73" s="7">
        <v>15000</v>
      </c>
      <c r="BI73" s="7">
        <v>1100</v>
      </c>
      <c r="BJ73" s="7">
        <v>22</v>
      </c>
      <c r="BK73" s="1"/>
      <c r="BL73" s="1"/>
      <c r="BM73" s="1">
        <v>1</v>
      </c>
      <c r="BN73" s="1"/>
      <c r="BO73" s="1"/>
      <c r="BP73" s="1"/>
      <c r="BQ73" s="1"/>
      <c r="BR73" s="1">
        <v>1</v>
      </c>
      <c r="BS73" s="1"/>
      <c r="BT73" s="1"/>
      <c r="BU73" s="1">
        <v>1</v>
      </c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7">
        <v>2</v>
      </c>
      <c r="CV73" s="7">
        <v>2</v>
      </c>
      <c r="CW73" s="7">
        <v>0</v>
      </c>
      <c r="CX73" s="7">
        <v>8</v>
      </c>
      <c r="CY73" s="1">
        <v>2</v>
      </c>
      <c r="CZ73" s="1"/>
      <c r="DA73" s="7">
        <v>1</v>
      </c>
      <c r="DB73" s="1"/>
      <c r="DC73" s="1"/>
      <c r="DD73" s="1"/>
      <c r="DE73" s="1"/>
      <c r="DF73" s="1">
        <v>1</v>
      </c>
      <c r="DG73" s="1"/>
      <c r="DH73" s="1"/>
      <c r="DI73" s="1"/>
      <c r="DJ73" s="1">
        <v>1</v>
      </c>
      <c r="DK73" s="1"/>
      <c r="DL73" s="1"/>
      <c r="DM73" s="1">
        <v>1</v>
      </c>
      <c r="DN73" s="1"/>
      <c r="DO73" s="1"/>
      <c r="DP73" s="1"/>
      <c r="DQ73" s="1">
        <v>1</v>
      </c>
      <c r="DR73" s="1"/>
      <c r="DS73" s="1"/>
      <c r="DT73" s="7">
        <v>3</v>
      </c>
      <c r="DU73" s="7">
        <v>3</v>
      </c>
      <c r="DV73" s="1"/>
      <c r="DW73" s="1"/>
      <c r="DX73" s="7">
        <v>900</v>
      </c>
      <c r="DY73" s="7">
        <v>700</v>
      </c>
      <c r="DZ73" s="1"/>
      <c r="EA73" s="1"/>
      <c r="EB73" s="1"/>
      <c r="EC73" s="1" t="s">
        <v>111</v>
      </c>
      <c r="ED73" s="1" t="s">
        <v>112</v>
      </c>
      <c r="EE73" s="1">
        <v>1</v>
      </c>
      <c r="EF73" s="1">
        <v>1</v>
      </c>
      <c r="EG73" s="1" t="s">
        <v>113</v>
      </c>
      <c r="EH73" s="1" t="s">
        <v>114</v>
      </c>
      <c r="EI73" s="1" t="s">
        <v>111</v>
      </c>
      <c r="EJ73" s="1" t="s">
        <v>114</v>
      </c>
      <c r="EK73" s="1">
        <v>5</v>
      </c>
      <c r="EL73" s="1">
        <v>4</v>
      </c>
    </row>
    <row r="74" spans="1:142" x14ac:dyDescent="0.25">
      <c r="A74" s="5">
        <v>70</v>
      </c>
      <c r="B74" s="17" t="s">
        <v>252</v>
      </c>
      <c r="C74" s="1" t="s">
        <v>253</v>
      </c>
      <c r="D74" s="35">
        <v>45370</v>
      </c>
      <c r="E74" s="1">
        <v>2</v>
      </c>
      <c r="F74" s="36"/>
      <c r="G74" s="1">
        <v>1</v>
      </c>
      <c r="H74" s="1">
        <v>32</v>
      </c>
      <c r="I74" s="1">
        <v>0</v>
      </c>
      <c r="J74" s="1">
        <v>1</v>
      </c>
      <c r="K74" s="1">
        <v>13</v>
      </c>
      <c r="L74" s="1">
        <f t="shared" si="11"/>
        <v>5</v>
      </c>
      <c r="M74" s="1" t="s">
        <v>107</v>
      </c>
      <c r="N74" s="1" t="s">
        <v>254</v>
      </c>
      <c r="O74" s="1" t="s">
        <v>109</v>
      </c>
      <c r="P74" s="1" t="s">
        <v>110</v>
      </c>
      <c r="Q74" s="1" t="s">
        <v>110</v>
      </c>
      <c r="R74" s="7">
        <v>1</v>
      </c>
      <c r="S74" s="1">
        <v>8</v>
      </c>
      <c r="T74" s="1">
        <v>0.50575999999999999</v>
      </c>
      <c r="U74" s="1"/>
      <c r="V74" s="1"/>
      <c r="W74" s="1"/>
      <c r="X74" s="1"/>
      <c r="Y74" s="1"/>
      <c r="Z74" s="3">
        <v>1</v>
      </c>
      <c r="AA74" s="3"/>
      <c r="AB74" s="3"/>
      <c r="AC74" s="3"/>
      <c r="AD74" s="3"/>
      <c r="AE74" s="3">
        <v>2</v>
      </c>
      <c r="AF74" s="1">
        <v>1</v>
      </c>
      <c r="AG74" s="1"/>
      <c r="AH74" s="1"/>
      <c r="AI74" s="1"/>
      <c r="AJ74" s="1"/>
      <c r="AK74" s="1"/>
      <c r="AL74" s="1">
        <v>2</v>
      </c>
      <c r="AM74" s="1">
        <v>8</v>
      </c>
      <c r="AN74" s="7">
        <v>9</v>
      </c>
      <c r="AO74" s="7">
        <v>3</v>
      </c>
      <c r="AP74" s="7">
        <f t="shared" si="21"/>
        <v>0.23</v>
      </c>
      <c r="AQ74" s="7">
        <f t="shared" si="12"/>
        <v>13.043478260869565</v>
      </c>
      <c r="AR74" s="7">
        <f t="shared" si="13"/>
        <v>0.33333333333333331</v>
      </c>
      <c r="AS74" s="7">
        <f t="shared" si="14"/>
        <v>0</v>
      </c>
      <c r="AT74" s="7">
        <f t="shared" si="15"/>
        <v>0</v>
      </c>
      <c r="AU74" s="7">
        <f t="shared" si="16"/>
        <v>0</v>
      </c>
      <c r="AV74" s="7">
        <f t="shared" si="17"/>
        <v>0</v>
      </c>
      <c r="AW74" s="7">
        <f t="shared" si="18"/>
        <v>26.086956521739129</v>
      </c>
      <c r="AX74" s="7">
        <f t="shared" si="19"/>
        <v>26.086956521739129</v>
      </c>
      <c r="AY74" s="7">
        <v>0.66666666669999997</v>
      </c>
      <c r="AZ74" s="18">
        <v>10</v>
      </c>
      <c r="BA74" s="18">
        <v>30</v>
      </c>
      <c r="BB74" s="7">
        <v>0.5</v>
      </c>
      <c r="BC74" s="7">
        <v>50</v>
      </c>
      <c r="BD74" s="7">
        <f t="shared" si="20"/>
        <v>16.666666666666668</v>
      </c>
      <c r="BE74" s="5">
        <v>0</v>
      </c>
      <c r="BF74" s="1">
        <v>0</v>
      </c>
      <c r="BG74" s="7">
        <v>3550</v>
      </c>
      <c r="BH74" s="7">
        <v>15000</v>
      </c>
      <c r="BI74" s="7">
        <v>700</v>
      </c>
      <c r="BJ74" s="7">
        <v>14</v>
      </c>
      <c r="BK74" s="1"/>
      <c r="BL74" s="1"/>
      <c r="BM74" s="1"/>
      <c r="BN74" s="1"/>
      <c r="BO74" s="1"/>
      <c r="BP74" s="1"/>
      <c r="BQ74" s="1">
        <v>1</v>
      </c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7">
        <v>6</v>
      </c>
      <c r="CV74" s="7">
        <v>2</v>
      </c>
      <c r="CW74" s="7">
        <v>0</v>
      </c>
      <c r="CX74" s="7">
        <v>8</v>
      </c>
      <c r="CY74" s="1">
        <v>2</v>
      </c>
      <c r="CZ74" s="1"/>
      <c r="DA74" s="7">
        <v>1</v>
      </c>
      <c r="DB74" s="1"/>
      <c r="DC74" s="1">
        <v>1</v>
      </c>
      <c r="DD74" s="1"/>
      <c r="DE74" s="1"/>
      <c r="DF74" s="1">
        <v>1</v>
      </c>
      <c r="DG74" s="1"/>
      <c r="DH74" s="1"/>
      <c r="DI74" s="1"/>
      <c r="DJ74" s="1">
        <v>1</v>
      </c>
      <c r="DK74" s="1"/>
      <c r="DL74" s="1"/>
      <c r="DM74" s="1">
        <v>1</v>
      </c>
      <c r="DN74" s="1"/>
      <c r="DO74" s="1">
        <v>1</v>
      </c>
      <c r="DP74" s="1"/>
      <c r="DQ74" s="1">
        <v>1</v>
      </c>
      <c r="DR74" s="1"/>
      <c r="DS74" s="1"/>
      <c r="DT74" s="7">
        <v>3</v>
      </c>
      <c r="DU74" s="7">
        <v>1</v>
      </c>
      <c r="DV74" s="7">
        <v>106800</v>
      </c>
      <c r="DW74" s="1"/>
      <c r="DX74" s="7">
        <v>600</v>
      </c>
      <c r="DY74" s="7">
        <v>900</v>
      </c>
      <c r="DZ74" s="1"/>
      <c r="EA74" s="1"/>
      <c r="EB74" s="1"/>
      <c r="EC74" s="1" t="s">
        <v>111</v>
      </c>
      <c r="ED74" s="1" t="s">
        <v>112</v>
      </c>
      <c r="EE74" s="1">
        <v>1</v>
      </c>
      <c r="EF74" s="1">
        <v>1</v>
      </c>
      <c r="EG74" s="1" t="s">
        <v>113</v>
      </c>
      <c r="EH74" s="1" t="s">
        <v>114</v>
      </c>
      <c r="EI74" s="1" t="s">
        <v>111</v>
      </c>
      <c r="EJ74" s="1" t="s">
        <v>114</v>
      </c>
      <c r="EK74" s="1">
        <v>5</v>
      </c>
      <c r="EL74" s="1">
        <v>4</v>
      </c>
    </row>
    <row r="75" spans="1:142" x14ac:dyDescent="0.25">
      <c r="A75" s="5">
        <v>71</v>
      </c>
      <c r="B75" s="17" t="s">
        <v>255</v>
      </c>
      <c r="C75" s="1" t="s">
        <v>256</v>
      </c>
      <c r="D75" s="35">
        <v>45370</v>
      </c>
      <c r="E75" s="1">
        <v>2</v>
      </c>
      <c r="F75" s="36"/>
      <c r="G75" s="1">
        <v>1</v>
      </c>
      <c r="H75" s="1">
        <v>48</v>
      </c>
      <c r="I75" s="1">
        <v>2</v>
      </c>
      <c r="J75" s="1">
        <v>2</v>
      </c>
      <c r="K75" s="1">
        <v>7</v>
      </c>
      <c r="L75" s="1">
        <f t="shared" si="11"/>
        <v>2</v>
      </c>
      <c r="M75" s="1" t="s">
        <v>107</v>
      </c>
      <c r="N75" s="1" t="s">
        <v>141</v>
      </c>
      <c r="O75" s="1" t="s">
        <v>109</v>
      </c>
      <c r="P75" s="1" t="s">
        <v>110</v>
      </c>
      <c r="Q75" s="1" t="s">
        <v>110</v>
      </c>
      <c r="R75" s="7">
        <v>1</v>
      </c>
      <c r="S75" s="1">
        <v>3</v>
      </c>
      <c r="T75" s="1">
        <v>0</v>
      </c>
      <c r="U75" s="1"/>
      <c r="V75" s="1"/>
      <c r="W75" s="1"/>
      <c r="X75" s="1"/>
      <c r="Y75" s="1"/>
      <c r="Z75" s="3"/>
      <c r="AA75" s="3">
        <v>1</v>
      </c>
      <c r="AB75" s="3"/>
      <c r="AC75" s="3"/>
      <c r="AD75" s="3"/>
      <c r="AE75" s="3">
        <v>2</v>
      </c>
      <c r="AF75" s="1"/>
      <c r="AG75" s="1"/>
      <c r="AH75" s="1"/>
      <c r="AI75" s="1"/>
      <c r="AJ75" s="1"/>
      <c r="AK75" s="1"/>
      <c r="AL75" s="1"/>
      <c r="AM75" s="1"/>
      <c r="AN75" s="7">
        <v>9</v>
      </c>
      <c r="AO75" s="7">
        <v>3</v>
      </c>
      <c r="AP75" s="7">
        <f t="shared" si="21"/>
        <v>0.23</v>
      </c>
      <c r="AQ75" s="7">
        <f t="shared" si="12"/>
        <v>13.043478260869565</v>
      </c>
      <c r="AR75" s="7">
        <f t="shared" si="13"/>
        <v>0</v>
      </c>
      <c r="AS75" s="7">
        <f t="shared" si="14"/>
        <v>0.33333333333333331</v>
      </c>
      <c r="AT75" s="7">
        <f t="shared" si="15"/>
        <v>0</v>
      </c>
      <c r="AU75" s="7">
        <f t="shared" si="16"/>
        <v>0</v>
      </c>
      <c r="AV75" s="7">
        <f t="shared" si="17"/>
        <v>0</v>
      </c>
      <c r="AW75" s="7">
        <f t="shared" si="18"/>
        <v>26.086956521739129</v>
      </c>
      <c r="AX75" s="7">
        <f t="shared" si="19"/>
        <v>39.130434782608688</v>
      </c>
      <c r="AY75" s="7">
        <v>0.66666666669999997</v>
      </c>
      <c r="AZ75" s="18">
        <v>10.333333333333334</v>
      </c>
      <c r="BA75" s="18">
        <v>31</v>
      </c>
      <c r="BB75" s="7">
        <v>0.5</v>
      </c>
      <c r="BC75" s="7">
        <v>44</v>
      </c>
      <c r="BD75" s="7">
        <f t="shared" si="20"/>
        <v>14.666666666666666</v>
      </c>
      <c r="BE75" s="5">
        <v>1</v>
      </c>
      <c r="BF75" s="1">
        <v>200</v>
      </c>
      <c r="BG75" s="7">
        <v>3350</v>
      </c>
      <c r="BH75" s="7">
        <v>30000</v>
      </c>
      <c r="BI75" s="7">
        <v>600</v>
      </c>
      <c r="BJ75" s="7">
        <v>12</v>
      </c>
      <c r="BK75" s="1"/>
      <c r="BL75" s="1"/>
      <c r="BM75" s="1"/>
      <c r="BN75" s="1"/>
      <c r="BO75" s="1"/>
      <c r="BP75" s="1"/>
      <c r="BQ75" s="1"/>
      <c r="BR75" s="1"/>
      <c r="BS75" s="1"/>
      <c r="BT75" s="1">
        <v>1</v>
      </c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7">
        <v>6</v>
      </c>
      <c r="CV75" s="7">
        <v>2</v>
      </c>
      <c r="CW75" s="7">
        <v>0</v>
      </c>
      <c r="CX75" s="7">
        <v>8</v>
      </c>
      <c r="CY75" s="1">
        <v>4</v>
      </c>
      <c r="CZ75" s="1"/>
      <c r="DA75" s="7">
        <v>1</v>
      </c>
      <c r="DB75" s="1"/>
      <c r="DC75" s="1">
        <v>1</v>
      </c>
      <c r="DD75" s="1"/>
      <c r="DE75" s="1"/>
      <c r="DF75" s="1">
        <v>1</v>
      </c>
      <c r="DG75" s="1"/>
      <c r="DH75" s="1"/>
      <c r="DI75" s="1"/>
      <c r="DJ75" s="1">
        <v>1</v>
      </c>
      <c r="DK75" s="1"/>
      <c r="DL75" s="1"/>
      <c r="DM75" s="1">
        <v>1</v>
      </c>
      <c r="DN75" s="1"/>
      <c r="DO75" s="1">
        <v>1</v>
      </c>
      <c r="DP75" s="1"/>
      <c r="DQ75" s="1">
        <v>1</v>
      </c>
      <c r="DR75" s="1"/>
      <c r="DS75" s="1"/>
      <c r="DT75" s="7">
        <v>3</v>
      </c>
      <c r="DU75" s="7">
        <v>3</v>
      </c>
      <c r="DV75" s="1"/>
      <c r="DW75" s="1"/>
      <c r="DX75" s="7">
        <v>500</v>
      </c>
      <c r="DY75" s="7">
        <v>1100</v>
      </c>
      <c r="DZ75" s="1"/>
      <c r="EA75" s="1"/>
      <c r="EB75" s="1"/>
      <c r="EC75" s="1" t="s">
        <v>111</v>
      </c>
      <c r="ED75" s="1" t="s">
        <v>112</v>
      </c>
      <c r="EE75" s="1">
        <v>1</v>
      </c>
      <c r="EF75" s="1">
        <v>1</v>
      </c>
      <c r="EG75" s="1" t="s">
        <v>113</v>
      </c>
      <c r="EH75" s="1" t="s">
        <v>114</v>
      </c>
      <c r="EI75" s="1" t="s">
        <v>111</v>
      </c>
      <c r="EJ75" s="1" t="s">
        <v>114</v>
      </c>
      <c r="EK75" s="1">
        <v>6</v>
      </c>
      <c r="EL75" s="1">
        <v>4</v>
      </c>
    </row>
    <row r="76" spans="1:142" x14ac:dyDescent="0.25">
      <c r="A76" s="5">
        <v>72</v>
      </c>
      <c r="B76" s="17" t="s">
        <v>257</v>
      </c>
      <c r="C76" s="1" t="s">
        <v>258</v>
      </c>
      <c r="D76" s="35">
        <v>45370</v>
      </c>
      <c r="E76" s="1">
        <v>2</v>
      </c>
      <c r="F76" s="36"/>
      <c r="G76" s="1">
        <v>1</v>
      </c>
      <c r="H76" s="1">
        <v>25</v>
      </c>
      <c r="I76" s="1">
        <v>0</v>
      </c>
      <c r="J76" s="1">
        <v>1</v>
      </c>
      <c r="K76" s="1">
        <v>10</v>
      </c>
      <c r="L76" s="1">
        <f t="shared" si="11"/>
        <v>3</v>
      </c>
      <c r="M76" s="1" t="s">
        <v>107</v>
      </c>
      <c r="N76" s="1" t="s">
        <v>108</v>
      </c>
      <c r="O76" s="1" t="s">
        <v>127</v>
      </c>
      <c r="P76" s="1" t="s">
        <v>110</v>
      </c>
      <c r="Q76" s="1" t="s">
        <v>110</v>
      </c>
      <c r="R76" s="7">
        <v>3</v>
      </c>
      <c r="S76" s="1">
        <v>5</v>
      </c>
      <c r="T76" s="1">
        <v>0</v>
      </c>
      <c r="U76" s="1"/>
      <c r="V76" s="1"/>
      <c r="W76" s="1"/>
      <c r="X76" s="1"/>
      <c r="Y76" s="1"/>
      <c r="Z76" s="3">
        <v>2</v>
      </c>
      <c r="AA76" s="3">
        <v>3</v>
      </c>
      <c r="AB76" s="3"/>
      <c r="AC76" s="3">
        <v>2</v>
      </c>
      <c r="AD76" s="3">
        <v>1</v>
      </c>
      <c r="AE76" s="3">
        <v>2</v>
      </c>
      <c r="AF76" s="1"/>
      <c r="AG76" s="1">
        <v>1</v>
      </c>
      <c r="AH76" s="1"/>
      <c r="AI76" s="1"/>
      <c r="AJ76" s="1"/>
      <c r="AK76" s="1"/>
      <c r="AL76" s="1"/>
      <c r="AM76" s="1"/>
      <c r="AN76" s="7">
        <v>10</v>
      </c>
      <c r="AO76" s="7">
        <v>10</v>
      </c>
      <c r="AP76" s="7">
        <f t="shared" si="21"/>
        <v>0.51</v>
      </c>
      <c r="AQ76" s="7">
        <f t="shared" si="12"/>
        <v>29.411764705882355</v>
      </c>
      <c r="AR76" s="7">
        <f t="shared" si="13"/>
        <v>0.2</v>
      </c>
      <c r="AS76" s="7">
        <f t="shared" si="14"/>
        <v>0.3</v>
      </c>
      <c r="AT76" s="7">
        <f t="shared" si="15"/>
        <v>0</v>
      </c>
      <c r="AU76" s="7">
        <f t="shared" si="16"/>
        <v>11.76470588235294</v>
      </c>
      <c r="AV76" s="7">
        <f t="shared" si="17"/>
        <v>5.8823529411764701</v>
      </c>
      <c r="AW76" s="7">
        <f t="shared" si="18"/>
        <v>11.76470588235294</v>
      </c>
      <c r="AX76" s="7">
        <f t="shared" si="19"/>
        <v>41.17647058823529</v>
      </c>
      <c r="AY76" s="7">
        <v>0.2</v>
      </c>
      <c r="AZ76" s="18">
        <v>9.3000000000000007</v>
      </c>
      <c r="BA76" s="18">
        <v>93</v>
      </c>
      <c r="BB76" s="7">
        <v>2.5</v>
      </c>
      <c r="BC76" s="7">
        <v>143</v>
      </c>
      <c r="BD76" s="7">
        <f t="shared" si="20"/>
        <v>14.3</v>
      </c>
      <c r="BE76" s="5">
        <v>0</v>
      </c>
      <c r="BF76" s="1">
        <v>0</v>
      </c>
      <c r="BG76" s="7">
        <v>9700</v>
      </c>
      <c r="BH76" s="7">
        <v>15000</v>
      </c>
      <c r="BI76" s="7">
        <v>2100</v>
      </c>
      <c r="BJ76" s="7">
        <v>42</v>
      </c>
      <c r="BK76" s="1"/>
      <c r="BL76" s="1"/>
      <c r="BM76" s="1">
        <v>1</v>
      </c>
      <c r="BN76" s="1"/>
      <c r="BO76" s="1"/>
      <c r="BP76" s="1"/>
      <c r="BQ76" s="1">
        <v>2</v>
      </c>
      <c r="BR76" s="1"/>
      <c r="BS76" s="1"/>
      <c r="BT76" s="1">
        <v>3</v>
      </c>
      <c r="BU76" s="1">
        <v>2</v>
      </c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7">
        <v>6</v>
      </c>
      <c r="CV76" s="7">
        <v>2</v>
      </c>
      <c r="CW76" s="7">
        <v>0</v>
      </c>
      <c r="CX76" s="7">
        <v>8</v>
      </c>
      <c r="CY76" s="1">
        <v>2</v>
      </c>
      <c r="CZ76" s="1"/>
      <c r="DA76" s="7">
        <v>1</v>
      </c>
      <c r="DB76" s="1"/>
      <c r="DC76" s="1"/>
      <c r="DD76" s="1"/>
      <c r="DE76" s="1"/>
      <c r="DF76" s="1">
        <v>1</v>
      </c>
      <c r="DG76" s="1"/>
      <c r="DH76" s="1"/>
      <c r="DI76" s="1"/>
      <c r="DJ76" s="1">
        <v>1</v>
      </c>
      <c r="DK76" s="1"/>
      <c r="DL76" s="1"/>
      <c r="DM76" s="1">
        <v>1</v>
      </c>
      <c r="DN76" s="1"/>
      <c r="DO76" s="1"/>
      <c r="DP76" s="1"/>
      <c r="DQ76" s="1">
        <v>1</v>
      </c>
      <c r="DR76" s="1"/>
      <c r="DS76" s="1"/>
      <c r="DT76" s="7">
        <v>3</v>
      </c>
      <c r="DU76" s="7">
        <v>2</v>
      </c>
      <c r="DV76" s="1"/>
      <c r="DW76" s="1"/>
      <c r="DX76" s="7">
        <v>1600</v>
      </c>
      <c r="DY76" s="7">
        <v>2300</v>
      </c>
      <c r="DZ76" s="1"/>
      <c r="EA76" s="1"/>
      <c r="EB76" s="1"/>
      <c r="EC76" s="1" t="s">
        <v>111</v>
      </c>
      <c r="ED76" s="1" t="s">
        <v>112</v>
      </c>
      <c r="EE76" s="1">
        <v>1</v>
      </c>
      <c r="EF76" s="1">
        <v>1</v>
      </c>
      <c r="EG76" s="1" t="s">
        <v>113</v>
      </c>
      <c r="EH76" s="1" t="s">
        <v>114</v>
      </c>
      <c r="EI76" s="1" t="s">
        <v>111</v>
      </c>
      <c r="EJ76" s="1" t="s">
        <v>114</v>
      </c>
      <c r="EK76" s="1">
        <v>6</v>
      </c>
      <c r="EL76" s="1">
        <v>4</v>
      </c>
    </row>
    <row r="77" spans="1:142" x14ac:dyDescent="0.25">
      <c r="A77" s="5">
        <v>73</v>
      </c>
      <c r="B77" s="17" t="s">
        <v>259</v>
      </c>
      <c r="C77" s="1" t="s">
        <v>260</v>
      </c>
      <c r="D77" s="35">
        <v>45370</v>
      </c>
      <c r="E77" s="1">
        <v>2</v>
      </c>
      <c r="F77" s="36"/>
      <c r="G77" s="1">
        <v>1</v>
      </c>
      <c r="H77" s="1">
        <v>32</v>
      </c>
      <c r="I77" s="1">
        <v>12</v>
      </c>
      <c r="J77" s="1">
        <v>2</v>
      </c>
      <c r="K77" s="1">
        <v>8</v>
      </c>
      <c r="L77" s="1">
        <f t="shared" si="11"/>
        <v>2</v>
      </c>
      <c r="M77" s="1" t="s">
        <v>107</v>
      </c>
      <c r="N77" s="1" t="s">
        <v>120</v>
      </c>
      <c r="O77" s="1" t="s">
        <v>261</v>
      </c>
      <c r="P77" s="1" t="s">
        <v>110</v>
      </c>
      <c r="Q77" s="1" t="s">
        <v>110</v>
      </c>
      <c r="R77" s="7">
        <v>1</v>
      </c>
      <c r="S77" s="1">
        <v>2</v>
      </c>
      <c r="T77" s="1">
        <v>0</v>
      </c>
      <c r="U77" s="1"/>
      <c r="V77" s="1"/>
      <c r="W77" s="1"/>
      <c r="X77" s="1"/>
      <c r="Y77" s="1"/>
      <c r="Z77" s="3"/>
      <c r="AA77" s="3">
        <v>1</v>
      </c>
      <c r="AB77" s="3"/>
      <c r="AC77" s="3">
        <v>1</v>
      </c>
      <c r="AD77" s="3">
        <v>1</v>
      </c>
      <c r="AE77" s="3">
        <v>2</v>
      </c>
      <c r="AF77" s="1"/>
      <c r="AG77" s="1">
        <v>1</v>
      </c>
      <c r="AH77" s="1"/>
      <c r="AI77" s="1"/>
      <c r="AJ77" s="1"/>
      <c r="AK77" s="1"/>
      <c r="AL77" s="1"/>
      <c r="AM77" s="1"/>
      <c r="AN77" s="7">
        <v>9</v>
      </c>
      <c r="AO77" s="7">
        <v>5</v>
      </c>
      <c r="AP77" s="7">
        <f t="shared" si="21"/>
        <v>0.36000000000000004</v>
      </c>
      <c r="AQ77" s="7">
        <f t="shared" si="12"/>
        <v>8.3333333333333321</v>
      </c>
      <c r="AR77" s="7">
        <f t="shared" si="13"/>
        <v>0</v>
      </c>
      <c r="AS77" s="7">
        <f t="shared" si="14"/>
        <v>0.2</v>
      </c>
      <c r="AT77" s="7">
        <f t="shared" si="15"/>
        <v>0</v>
      </c>
      <c r="AU77" s="7">
        <f t="shared" si="16"/>
        <v>8.3333333333333321</v>
      </c>
      <c r="AV77" s="7">
        <f t="shared" si="17"/>
        <v>8.3333333333333321</v>
      </c>
      <c r="AW77" s="7">
        <f t="shared" si="18"/>
        <v>16.666666666666664</v>
      </c>
      <c r="AX77" s="7">
        <f t="shared" si="19"/>
        <v>33.333333333333329</v>
      </c>
      <c r="AY77" s="7">
        <v>0.4</v>
      </c>
      <c r="AZ77" s="18">
        <v>14</v>
      </c>
      <c r="BA77" s="18">
        <v>70</v>
      </c>
      <c r="BB77" s="7">
        <v>0.5</v>
      </c>
      <c r="BC77" s="7">
        <v>99</v>
      </c>
      <c r="BD77" s="7">
        <f t="shared" si="20"/>
        <v>19.8</v>
      </c>
      <c r="BE77" s="5">
        <v>0</v>
      </c>
      <c r="BF77" s="1">
        <v>0</v>
      </c>
      <c r="BG77" s="7">
        <v>6710</v>
      </c>
      <c r="BH77" s="7">
        <v>30000</v>
      </c>
      <c r="BI77" s="7">
        <v>1100</v>
      </c>
      <c r="BJ77" s="7">
        <v>22</v>
      </c>
      <c r="BK77" s="1"/>
      <c r="BL77" s="1"/>
      <c r="BM77" s="1">
        <v>1</v>
      </c>
      <c r="BN77" s="1"/>
      <c r="BO77" s="1"/>
      <c r="BP77" s="1"/>
      <c r="BQ77" s="1"/>
      <c r="BR77" s="1"/>
      <c r="BS77" s="1"/>
      <c r="BT77" s="1">
        <v>1</v>
      </c>
      <c r="BU77" s="1">
        <v>1</v>
      </c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7">
        <v>2</v>
      </c>
      <c r="CV77" s="7">
        <v>2</v>
      </c>
      <c r="CW77" s="7">
        <v>0</v>
      </c>
      <c r="CX77" s="7">
        <v>8</v>
      </c>
      <c r="CY77" s="1">
        <v>4</v>
      </c>
      <c r="CZ77" s="1"/>
      <c r="DA77" s="7">
        <v>1</v>
      </c>
      <c r="DB77" s="1"/>
      <c r="DC77" s="1"/>
      <c r="DD77" s="1"/>
      <c r="DE77" s="1"/>
      <c r="DF77" s="1">
        <v>1</v>
      </c>
      <c r="DG77" s="1"/>
      <c r="DH77" s="1"/>
      <c r="DI77" s="1"/>
      <c r="DJ77" s="1">
        <v>1</v>
      </c>
      <c r="DK77" s="1"/>
      <c r="DL77" s="1"/>
      <c r="DM77" s="1">
        <v>1</v>
      </c>
      <c r="DN77" s="1"/>
      <c r="DO77" s="1"/>
      <c r="DP77" s="1"/>
      <c r="DQ77" s="1">
        <v>1</v>
      </c>
      <c r="DR77" s="1"/>
      <c r="DS77" s="1"/>
      <c r="DT77" s="7">
        <v>3</v>
      </c>
      <c r="DU77" s="7">
        <v>1</v>
      </c>
      <c r="DV77" s="7">
        <v>99600</v>
      </c>
      <c r="DW77" s="1"/>
      <c r="DX77" s="7">
        <v>800</v>
      </c>
      <c r="DY77" s="7">
        <v>800</v>
      </c>
      <c r="DZ77" s="1"/>
      <c r="EA77" s="1"/>
      <c r="EB77" s="1"/>
      <c r="EC77" s="1" t="s">
        <v>111</v>
      </c>
      <c r="ED77" s="1" t="s">
        <v>112</v>
      </c>
      <c r="EE77" s="1">
        <v>1</v>
      </c>
      <c r="EF77" s="1">
        <v>1</v>
      </c>
      <c r="EG77" s="1" t="s">
        <v>113</v>
      </c>
      <c r="EH77" s="1" t="s">
        <v>114</v>
      </c>
      <c r="EI77" s="1" t="s">
        <v>111</v>
      </c>
      <c r="EJ77" s="1" t="s">
        <v>114</v>
      </c>
      <c r="EK77" s="1">
        <v>5</v>
      </c>
      <c r="EL77" s="1">
        <v>4</v>
      </c>
    </row>
    <row r="78" spans="1:142" x14ac:dyDescent="0.25">
      <c r="A78" s="5">
        <v>74</v>
      </c>
      <c r="B78" s="17" t="s">
        <v>262</v>
      </c>
      <c r="C78" s="1" t="s">
        <v>263</v>
      </c>
      <c r="D78" s="35">
        <v>45470</v>
      </c>
      <c r="E78" s="1">
        <v>2</v>
      </c>
      <c r="F78" s="36"/>
      <c r="G78" s="1">
        <v>1</v>
      </c>
      <c r="H78" s="1">
        <v>40</v>
      </c>
      <c r="I78" s="1">
        <v>10</v>
      </c>
      <c r="J78" s="1">
        <v>4</v>
      </c>
      <c r="K78" s="1">
        <v>7</v>
      </c>
      <c r="L78" s="1">
        <f t="shared" si="11"/>
        <v>2</v>
      </c>
      <c r="M78" s="1" t="s">
        <v>107</v>
      </c>
      <c r="N78" s="1" t="s">
        <v>120</v>
      </c>
      <c r="O78" s="1" t="s">
        <v>109</v>
      </c>
      <c r="P78" s="1" t="s">
        <v>110</v>
      </c>
      <c r="Q78" s="1" t="s">
        <v>110</v>
      </c>
      <c r="R78" s="7">
        <v>1</v>
      </c>
      <c r="S78" s="1">
        <v>4</v>
      </c>
      <c r="T78" s="1">
        <v>1.2644000000000001E-2</v>
      </c>
      <c r="U78" s="1"/>
      <c r="V78" s="1"/>
      <c r="W78" s="1"/>
      <c r="X78" s="1"/>
      <c r="Y78" s="1"/>
      <c r="Z78" s="3"/>
      <c r="AA78" s="3">
        <v>1</v>
      </c>
      <c r="AB78" s="3"/>
      <c r="AC78" s="3">
        <v>2</v>
      </c>
      <c r="AD78" s="3"/>
      <c r="AE78" s="3"/>
      <c r="AF78" s="1"/>
      <c r="AG78" s="1"/>
      <c r="AH78" s="1"/>
      <c r="AI78" s="1"/>
      <c r="AJ78" s="1"/>
      <c r="AK78" s="1"/>
      <c r="AL78" s="1">
        <v>6</v>
      </c>
      <c r="AM78" s="1">
        <v>2</v>
      </c>
      <c r="AN78" s="7">
        <v>7</v>
      </c>
      <c r="AO78" s="7">
        <v>3</v>
      </c>
      <c r="AP78" s="7">
        <f t="shared" si="21"/>
        <v>0.09</v>
      </c>
      <c r="AQ78" s="7">
        <f t="shared" si="12"/>
        <v>33.333333333333329</v>
      </c>
      <c r="AR78" s="7">
        <f t="shared" si="13"/>
        <v>0</v>
      </c>
      <c r="AS78" s="7">
        <f t="shared" si="14"/>
        <v>0.33333333333333331</v>
      </c>
      <c r="AT78" s="7">
        <f t="shared" si="15"/>
        <v>0</v>
      </c>
      <c r="AU78" s="7">
        <f t="shared" si="16"/>
        <v>66.666666666666657</v>
      </c>
      <c r="AV78" s="7">
        <f t="shared" si="17"/>
        <v>0</v>
      </c>
      <c r="AW78" s="7">
        <f t="shared" si="18"/>
        <v>0</v>
      </c>
      <c r="AX78" s="7">
        <f t="shared" si="19"/>
        <v>100</v>
      </c>
      <c r="AY78" s="7">
        <v>0.66666666669999997</v>
      </c>
      <c r="AZ78" s="18">
        <v>8</v>
      </c>
      <c r="BA78" s="18">
        <v>24</v>
      </c>
      <c r="BB78" s="7">
        <v>0</v>
      </c>
      <c r="BC78" s="7">
        <v>39</v>
      </c>
      <c r="BD78" s="7">
        <f t="shared" si="20"/>
        <v>13</v>
      </c>
      <c r="BE78" s="5">
        <v>0</v>
      </c>
      <c r="BF78" s="1">
        <v>0</v>
      </c>
      <c r="BG78" s="7">
        <v>2250</v>
      </c>
      <c r="BH78" s="7">
        <v>15000</v>
      </c>
      <c r="BI78" s="7">
        <v>600</v>
      </c>
      <c r="BJ78" s="7">
        <v>12</v>
      </c>
      <c r="BK78" s="1"/>
      <c r="BL78" s="1"/>
      <c r="BM78" s="1"/>
      <c r="BN78" s="1"/>
      <c r="BO78" s="1"/>
      <c r="BP78" s="1"/>
      <c r="BQ78" s="1"/>
      <c r="BR78" s="1"/>
      <c r="BS78" s="1"/>
      <c r="BT78" s="1">
        <v>1</v>
      </c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7">
        <v>2</v>
      </c>
      <c r="CV78" s="7">
        <v>2</v>
      </c>
      <c r="CW78" s="7">
        <v>0</v>
      </c>
      <c r="CX78" s="7">
        <v>8</v>
      </c>
      <c r="CY78" s="1">
        <v>2</v>
      </c>
      <c r="CZ78" s="1"/>
      <c r="DA78" s="7">
        <v>1</v>
      </c>
      <c r="DB78" s="1"/>
      <c r="DC78" s="1"/>
      <c r="DD78" s="1"/>
      <c r="DE78" s="1"/>
      <c r="DF78" s="1">
        <v>1</v>
      </c>
      <c r="DG78" s="1"/>
      <c r="DH78" s="1"/>
      <c r="DI78" s="1"/>
      <c r="DJ78" s="1">
        <v>1</v>
      </c>
      <c r="DK78" s="1"/>
      <c r="DL78" s="1"/>
      <c r="DM78" s="1">
        <v>1</v>
      </c>
      <c r="DN78" s="1"/>
      <c r="DO78" s="1"/>
      <c r="DP78" s="1"/>
      <c r="DQ78" s="1">
        <v>1</v>
      </c>
      <c r="DR78" s="1"/>
      <c r="DS78" s="1"/>
      <c r="DT78" s="7">
        <v>3</v>
      </c>
      <c r="DU78" s="7">
        <v>3</v>
      </c>
      <c r="DV78" s="1"/>
      <c r="DW78" s="1"/>
      <c r="DX78" s="7">
        <v>700</v>
      </c>
      <c r="DY78" s="7">
        <v>700</v>
      </c>
      <c r="DZ78" s="1"/>
      <c r="EA78" s="1"/>
      <c r="EB78" s="1"/>
      <c r="EC78" s="1" t="s">
        <v>111</v>
      </c>
      <c r="ED78" s="1" t="s">
        <v>112</v>
      </c>
      <c r="EE78" s="1">
        <v>1</v>
      </c>
      <c r="EF78" s="1">
        <v>1</v>
      </c>
      <c r="EG78" s="1" t="s">
        <v>113</v>
      </c>
      <c r="EH78" s="1" t="s">
        <v>114</v>
      </c>
      <c r="EI78" s="1" t="s">
        <v>111</v>
      </c>
      <c r="EJ78" s="1" t="s">
        <v>114</v>
      </c>
      <c r="EK78" s="1">
        <v>5</v>
      </c>
      <c r="EL78" s="1">
        <v>5</v>
      </c>
    </row>
    <row r="79" spans="1:142" x14ac:dyDescent="0.25">
      <c r="A79" s="5">
        <v>75</v>
      </c>
      <c r="B79" s="17" t="s">
        <v>264</v>
      </c>
      <c r="C79" s="1" t="s">
        <v>265</v>
      </c>
      <c r="D79" s="35">
        <v>45470</v>
      </c>
      <c r="E79" s="1">
        <v>4</v>
      </c>
      <c r="F79" s="36">
        <v>2</v>
      </c>
      <c r="G79" s="1">
        <v>1</v>
      </c>
      <c r="H79" s="1">
        <v>25</v>
      </c>
      <c r="I79" s="1">
        <v>7</v>
      </c>
      <c r="J79" s="1">
        <v>1</v>
      </c>
      <c r="K79" s="1">
        <v>12</v>
      </c>
      <c r="L79" s="1">
        <f t="shared" si="11"/>
        <v>4</v>
      </c>
      <c r="M79" s="1" t="s">
        <v>107</v>
      </c>
      <c r="N79" s="1" t="s">
        <v>120</v>
      </c>
      <c r="O79" s="1" t="s">
        <v>109</v>
      </c>
      <c r="P79" s="1" t="s">
        <v>110</v>
      </c>
      <c r="Q79" s="1" t="s">
        <v>110</v>
      </c>
      <c r="R79" s="7">
        <v>3</v>
      </c>
      <c r="S79" s="1">
        <v>4</v>
      </c>
      <c r="T79" s="1">
        <v>3.7932E-2</v>
      </c>
      <c r="U79" s="1"/>
      <c r="V79" s="1"/>
      <c r="W79" s="1"/>
      <c r="X79" s="1"/>
      <c r="Y79" s="1"/>
      <c r="Z79" s="3">
        <v>1</v>
      </c>
      <c r="AA79" s="3">
        <v>2</v>
      </c>
      <c r="AB79" s="3">
        <v>2</v>
      </c>
      <c r="AC79" s="3">
        <v>4</v>
      </c>
      <c r="AD79" s="3">
        <v>1</v>
      </c>
      <c r="AE79" s="3">
        <v>1</v>
      </c>
      <c r="AF79" s="1"/>
      <c r="AG79" s="1">
        <v>1</v>
      </c>
      <c r="AH79" s="1"/>
      <c r="AI79" s="1"/>
      <c r="AJ79" s="1"/>
      <c r="AK79" s="1"/>
      <c r="AL79" s="1"/>
      <c r="AM79" s="1"/>
      <c r="AN79" s="7">
        <v>8</v>
      </c>
      <c r="AO79" s="7">
        <v>11</v>
      </c>
      <c r="AP79" s="7">
        <f t="shared" si="21"/>
        <v>0.47000000000000003</v>
      </c>
      <c r="AQ79" s="7">
        <f t="shared" si="12"/>
        <v>19.148936170212764</v>
      </c>
      <c r="AR79" s="7">
        <f t="shared" si="13"/>
        <v>9.0909090909090912E-2</v>
      </c>
      <c r="AS79" s="7">
        <f t="shared" si="14"/>
        <v>0.18181818181818182</v>
      </c>
      <c r="AT79" s="7">
        <f t="shared" si="15"/>
        <v>12.76595744680851</v>
      </c>
      <c r="AU79" s="7">
        <f t="shared" si="16"/>
        <v>25.531914893617021</v>
      </c>
      <c r="AV79" s="7">
        <f t="shared" si="17"/>
        <v>6.3829787234042552</v>
      </c>
      <c r="AW79" s="7">
        <f t="shared" si="18"/>
        <v>6.3829787234042552</v>
      </c>
      <c r="AX79" s="7">
        <f t="shared" si="19"/>
        <v>44.680851063829785</v>
      </c>
      <c r="AY79" s="7">
        <v>0.54545454550000005</v>
      </c>
      <c r="AZ79" s="18">
        <v>11.181818181818182</v>
      </c>
      <c r="BA79" s="18">
        <v>123</v>
      </c>
      <c r="BB79" s="7">
        <v>1.5</v>
      </c>
      <c r="BC79" s="7">
        <v>178</v>
      </c>
      <c r="BD79" s="7">
        <f t="shared" si="20"/>
        <v>16.181818181818183</v>
      </c>
      <c r="BE79" s="5">
        <v>1</v>
      </c>
      <c r="BF79" s="1">
        <v>600</v>
      </c>
      <c r="BG79" s="7">
        <v>12220</v>
      </c>
      <c r="BH79" s="7">
        <v>15000</v>
      </c>
      <c r="BI79" s="7">
        <v>2300</v>
      </c>
      <c r="BJ79" s="7">
        <v>46</v>
      </c>
      <c r="BK79" s="1"/>
      <c r="BL79" s="1"/>
      <c r="BM79" s="1">
        <v>1</v>
      </c>
      <c r="BN79" s="1"/>
      <c r="BO79" s="1"/>
      <c r="BP79" s="1">
        <v>1</v>
      </c>
      <c r="BQ79" s="1">
        <v>1</v>
      </c>
      <c r="BR79" s="1"/>
      <c r="BS79" s="1"/>
      <c r="BT79" s="1">
        <v>2</v>
      </c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7">
        <v>2</v>
      </c>
      <c r="CV79" s="7">
        <v>2</v>
      </c>
      <c r="CW79" s="7">
        <v>0</v>
      </c>
      <c r="CX79" s="7">
        <v>8</v>
      </c>
      <c r="CY79" s="1">
        <v>2</v>
      </c>
      <c r="CZ79" s="1"/>
      <c r="DA79" s="7">
        <v>1</v>
      </c>
      <c r="DB79" s="1"/>
      <c r="DC79" s="1">
        <v>1</v>
      </c>
      <c r="DD79" s="1"/>
      <c r="DE79" s="1"/>
      <c r="DF79" s="1">
        <v>1</v>
      </c>
      <c r="DG79" s="1"/>
      <c r="DH79" s="1"/>
      <c r="DI79" s="1"/>
      <c r="DJ79" s="1">
        <v>1</v>
      </c>
      <c r="DK79" s="1"/>
      <c r="DL79" s="1"/>
      <c r="DM79" s="1">
        <v>1</v>
      </c>
      <c r="DN79" s="1"/>
      <c r="DO79" s="1">
        <v>1</v>
      </c>
      <c r="DP79" s="1"/>
      <c r="DQ79" s="1">
        <v>1</v>
      </c>
      <c r="DR79" s="1"/>
      <c r="DS79" s="1"/>
      <c r="DT79" s="7">
        <v>3</v>
      </c>
      <c r="DU79" s="7">
        <v>1</v>
      </c>
      <c r="DV79" s="7">
        <v>118000</v>
      </c>
      <c r="DW79" s="1"/>
      <c r="DX79" s="7">
        <v>1800</v>
      </c>
      <c r="DY79" s="7">
        <v>2100</v>
      </c>
      <c r="DZ79" s="1"/>
      <c r="EA79" s="1"/>
      <c r="EB79" s="1"/>
      <c r="EC79" s="1" t="s">
        <v>111</v>
      </c>
      <c r="ED79" s="1" t="s">
        <v>112</v>
      </c>
      <c r="EE79" s="1">
        <v>1</v>
      </c>
      <c r="EF79" s="1">
        <v>1</v>
      </c>
      <c r="EG79" s="1" t="s">
        <v>113</v>
      </c>
      <c r="EH79" s="1" t="s">
        <v>114</v>
      </c>
      <c r="EI79" s="1" t="s">
        <v>111</v>
      </c>
      <c r="EJ79" s="1" t="s">
        <v>114</v>
      </c>
      <c r="EK79" s="1">
        <v>5</v>
      </c>
      <c r="EL79" s="1">
        <v>4</v>
      </c>
    </row>
    <row r="80" spans="1:142" x14ac:dyDescent="0.25">
      <c r="A80" s="5">
        <v>76</v>
      </c>
      <c r="B80" s="17" t="s">
        <v>166</v>
      </c>
      <c r="C80" s="1" t="s">
        <v>192</v>
      </c>
      <c r="D80" s="35">
        <v>45470</v>
      </c>
      <c r="E80" s="1">
        <v>2</v>
      </c>
      <c r="F80" s="36"/>
      <c r="G80" s="1">
        <v>1</v>
      </c>
      <c r="H80" s="1">
        <v>24</v>
      </c>
      <c r="I80" s="1">
        <v>0</v>
      </c>
      <c r="J80" s="1">
        <v>1</v>
      </c>
      <c r="K80" s="1">
        <v>10</v>
      </c>
      <c r="L80" s="1">
        <f t="shared" si="11"/>
        <v>3</v>
      </c>
      <c r="M80" s="1" t="s">
        <v>107</v>
      </c>
      <c r="N80" s="1" t="s">
        <v>108</v>
      </c>
      <c r="O80" s="1" t="s">
        <v>109</v>
      </c>
      <c r="P80" s="1" t="s">
        <v>110</v>
      </c>
      <c r="Q80" s="1" t="s">
        <v>110</v>
      </c>
      <c r="R80" s="7">
        <v>2</v>
      </c>
      <c r="S80" s="1">
        <v>6</v>
      </c>
      <c r="T80" s="1">
        <v>0</v>
      </c>
      <c r="U80" s="1"/>
      <c r="V80" s="1"/>
      <c r="W80" s="1"/>
      <c r="X80" s="1"/>
      <c r="Y80" s="1"/>
      <c r="Z80" s="3"/>
      <c r="AA80" s="3">
        <v>1</v>
      </c>
      <c r="AB80" s="3"/>
      <c r="AC80" s="3">
        <v>2</v>
      </c>
      <c r="AD80" s="3"/>
      <c r="AE80" s="3">
        <v>1</v>
      </c>
      <c r="AF80" s="1"/>
      <c r="AG80" s="1">
        <v>1</v>
      </c>
      <c r="AH80" s="1"/>
      <c r="AI80" s="1"/>
      <c r="AJ80" s="1"/>
      <c r="AK80" s="1"/>
      <c r="AL80" s="1"/>
      <c r="AM80" s="1"/>
      <c r="AN80" s="7">
        <v>9</v>
      </c>
      <c r="AO80" s="7">
        <v>4</v>
      </c>
      <c r="AP80" s="7">
        <f t="shared" si="21"/>
        <v>0.19</v>
      </c>
      <c r="AQ80" s="7">
        <f t="shared" si="12"/>
        <v>15.789473684210526</v>
      </c>
      <c r="AR80" s="7">
        <f t="shared" si="13"/>
        <v>0</v>
      </c>
      <c r="AS80" s="7">
        <f t="shared" si="14"/>
        <v>0.25</v>
      </c>
      <c r="AT80" s="7">
        <f t="shared" si="15"/>
        <v>0</v>
      </c>
      <c r="AU80" s="7">
        <f t="shared" si="16"/>
        <v>31.578947368421051</v>
      </c>
      <c r="AV80" s="7">
        <f t="shared" si="17"/>
        <v>0</v>
      </c>
      <c r="AW80" s="7">
        <f t="shared" si="18"/>
        <v>15.789473684210526</v>
      </c>
      <c r="AX80" s="7">
        <f t="shared" si="19"/>
        <v>63.157894736842103</v>
      </c>
      <c r="AY80" s="7">
        <v>0.5</v>
      </c>
      <c r="AZ80" s="18">
        <v>12</v>
      </c>
      <c r="BA80" s="18">
        <v>48</v>
      </c>
      <c r="BB80" s="7">
        <v>0.5</v>
      </c>
      <c r="BC80" s="7">
        <v>74</v>
      </c>
      <c r="BD80" s="7">
        <f t="shared" si="20"/>
        <v>18.5</v>
      </c>
      <c r="BE80" s="5">
        <v>1</v>
      </c>
      <c r="BF80" s="1">
        <v>550</v>
      </c>
      <c r="BG80" s="7">
        <v>4870</v>
      </c>
      <c r="BH80" s="7">
        <v>30000</v>
      </c>
      <c r="BI80" s="7">
        <v>900</v>
      </c>
      <c r="BJ80" s="7">
        <v>18</v>
      </c>
      <c r="BK80" s="1"/>
      <c r="BL80" s="1"/>
      <c r="BM80" s="1"/>
      <c r="BN80" s="1"/>
      <c r="BO80" s="1"/>
      <c r="BP80" s="1">
        <v>1</v>
      </c>
      <c r="BQ80" s="1"/>
      <c r="BR80" s="1"/>
      <c r="BS80" s="1"/>
      <c r="BT80" s="1">
        <v>1</v>
      </c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7">
        <v>2</v>
      </c>
      <c r="CV80" s="7">
        <v>2</v>
      </c>
      <c r="CW80" s="7">
        <v>0</v>
      </c>
      <c r="CX80" s="7">
        <v>8</v>
      </c>
      <c r="CY80" s="1">
        <v>4</v>
      </c>
      <c r="CZ80" s="1"/>
      <c r="DA80" s="7">
        <v>1</v>
      </c>
      <c r="DB80" s="1"/>
      <c r="DC80" s="1">
        <v>1</v>
      </c>
      <c r="DD80" s="1"/>
      <c r="DE80" s="1"/>
      <c r="DF80" s="1">
        <v>1</v>
      </c>
      <c r="DG80" s="1"/>
      <c r="DH80" s="1"/>
      <c r="DI80" s="1"/>
      <c r="DJ80" s="1">
        <v>1</v>
      </c>
      <c r="DK80" s="1"/>
      <c r="DL80" s="1"/>
      <c r="DM80" s="1">
        <v>1</v>
      </c>
      <c r="DN80" s="1"/>
      <c r="DO80" s="1">
        <v>1</v>
      </c>
      <c r="DP80" s="1"/>
      <c r="DQ80" s="1">
        <v>1</v>
      </c>
      <c r="DR80" s="1"/>
      <c r="DS80" s="1"/>
      <c r="DT80" s="7">
        <v>3</v>
      </c>
      <c r="DU80" s="7">
        <v>1</v>
      </c>
      <c r="DV80" s="7">
        <v>91800</v>
      </c>
      <c r="DW80" s="1"/>
      <c r="DX80" s="7">
        <v>700</v>
      </c>
      <c r="DY80" s="7">
        <v>1100</v>
      </c>
      <c r="DZ80" s="1"/>
      <c r="EA80" s="1"/>
      <c r="EB80" s="1"/>
      <c r="EC80" s="1" t="s">
        <v>111</v>
      </c>
      <c r="ED80" s="1" t="s">
        <v>112</v>
      </c>
      <c r="EE80" s="1">
        <v>1</v>
      </c>
      <c r="EF80" s="1">
        <v>1</v>
      </c>
      <c r="EG80" s="1" t="s">
        <v>113</v>
      </c>
      <c r="EH80" s="1" t="s">
        <v>114</v>
      </c>
      <c r="EI80" s="1" t="s">
        <v>111</v>
      </c>
      <c r="EJ80" s="1" t="s">
        <v>114</v>
      </c>
      <c r="EK80" s="1">
        <v>6</v>
      </c>
      <c r="EL80" s="1">
        <v>5</v>
      </c>
    </row>
    <row r="81" spans="1:142" x14ac:dyDescent="0.25">
      <c r="A81" s="5">
        <v>77</v>
      </c>
      <c r="B81" s="17" t="s">
        <v>266</v>
      </c>
      <c r="C81" s="1" t="s">
        <v>267</v>
      </c>
      <c r="D81" s="35">
        <v>45470</v>
      </c>
      <c r="E81" s="1">
        <v>2</v>
      </c>
      <c r="F81" s="36"/>
      <c r="G81" s="1">
        <v>1</v>
      </c>
      <c r="H81" s="1">
        <v>55</v>
      </c>
      <c r="I81" s="1">
        <v>15</v>
      </c>
      <c r="J81" s="1">
        <v>5</v>
      </c>
      <c r="K81" s="1">
        <v>0</v>
      </c>
      <c r="L81" s="1">
        <f t="shared" si="11"/>
        <v>0</v>
      </c>
      <c r="M81" s="1" t="s">
        <v>107</v>
      </c>
      <c r="N81" s="1" t="s">
        <v>120</v>
      </c>
      <c r="O81" s="1" t="s">
        <v>109</v>
      </c>
      <c r="P81" s="1" t="s">
        <v>110</v>
      </c>
      <c r="Q81" s="1" t="s">
        <v>110</v>
      </c>
      <c r="R81" s="7">
        <v>3</v>
      </c>
      <c r="S81" s="1">
        <v>3</v>
      </c>
      <c r="T81" s="1">
        <v>0</v>
      </c>
      <c r="U81" s="1"/>
      <c r="V81" s="1"/>
      <c r="W81" s="1"/>
      <c r="X81" s="1"/>
      <c r="Y81" s="1"/>
      <c r="Z81" s="3"/>
      <c r="AA81" s="3"/>
      <c r="AB81" s="3">
        <v>1</v>
      </c>
      <c r="AC81" s="3">
        <v>2</v>
      </c>
      <c r="AD81" s="3"/>
      <c r="AE81" s="3"/>
      <c r="AF81" s="1"/>
      <c r="AG81" s="1">
        <v>1</v>
      </c>
      <c r="AH81" s="1"/>
      <c r="AI81" s="1"/>
      <c r="AJ81" s="1"/>
      <c r="AK81" s="1"/>
      <c r="AL81" s="1"/>
      <c r="AM81" s="1"/>
      <c r="AN81" s="7">
        <v>6</v>
      </c>
      <c r="AO81" s="7">
        <v>3</v>
      </c>
      <c r="AP81" s="7">
        <f t="shared" si="21"/>
        <v>0.09</v>
      </c>
      <c r="AQ81" s="7">
        <f t="shared" si="12"/>
        <v>0</v>
      </c>
      <c r="AR81" s="7">
        <f t="shared" si="13"/>
        <v>0</v>
      </c>
      <c r="AS81" s="7">
        <f t="shared" si="14"/>
        <v>0</v>
      </c>
      <c r="AT81" s="7">
        <f t="shared" si="15"/>
        <v>33.333333333333329</v>
      </c>
      <c r="AU81" s="7">
        <f t="shared" si="16"/>
        <v>66.666666666666657</v>
      </c>
      <c r="AV81" s="7">
        <f t="shared" si="17"/>
        <v>0</v>
      </c>
      <c r="AW81" s="7">
        <f t="shared" si="18"/>
        <v>0</v>
      </c>
      <c r="AX81" s="7">
        <f t="shared" si="19"/>
        <v>66.666666666666657</v>
      </c>
      <c r="AY81" s="7">
        <v>0.66666666669999997</v>
      </c>
      <c r="AZ81" s="18">
        <v>11</v>
      </c>
      <c r="BA81" s="18">
        <v>33</v>
      </c>
      <c r="BB81" s="7">
        <v>0</v>
      </c>
      <c r="BC81" s="7">
        <v>51</v>
      </c>
      <c r="BD81" s="7">
        <f t="shared" si="20"/>
        <v>17</v>
      </c>
      <c r="BE81" s="5">
        <v>0</v>
      </c>
      <c r="BF81" s="1">
        <v>0</v>
      </c>
      <c r="BG81" s="7">
        <v>3590</v>
      </c>
      <c r="BH81" s="7">
        <v>30000</v>
      </c>
      <c r="BI81" s="7">
        <v>600</v>
      </c>
      <c r="BJ81" s="7">
        <v>12</v>
      </c>
      <c r="BK81" s="1"/>
      <c r="BL81" s="1"/>
      <c r="BM81" s="1"/>
      <c r="BN81" s="1"/>
      <c r="BO81" s="1"/>
      <c r="BP81" s="1"/>
      <c r="BQ81" s="1"/>
      <c r="BR81" s="1">
        <v>1</v>
      </c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7">
        <v>2</v>
      </c>
      <c r="CV81" s="7">
        <v>2</v>
      </c>
      <c r="CW81" s="7">
        <v>0</v>
      </c>
      <c r="CX81" s="7">
        <v>8</v>
      </c>
      <c r="CY81" s="1">
        <v>4</v>
      </c>
      <c r="CZ81" s="1"/>
      <c r="DA81" s="7">
        <v>1</v>
      </c>
      <c r="DB81" s="1"/>
      <c r="DC81" s="1"/>
      <c r="DD81" s="1"/>
      <c r="DE81" s="1"/>
      <c r="DF81" s="1">
        <v>1</v>
      </c>
      <c r="DG81" s="1"/>
      <c r="DH81" s="1"/>
      <c r="DI81" s="1"/>
      <c r="DJ81" s="1">
        <v>1</v>
      </c>
      <c r="DK81" s="1"/>
      <c r="DL81" s="1"/>
      <c r="DM81" s="1">
        <v>1</v>
      </c>
      <c r="DN81" s="1"/>
      <c r="DO81" s="1"/>
      <c r="DP81" s="1"/>
      <c r="DQ81" s="1">
        <v>1</v>
      </c>
      <c r="DR81" s="1"/>
      <c r="DS81" s="1"/>
      <c r="DT81" s="7">
        <v>3</v>
      </c>
      <c r="DU81" s="7">
        <v>2</v>
      </c>
      <c r="DV81" s="1"/>
      <c r="DW81" s="1"/>
      <c r="DX81" s="7">
        <v>600</v>
      </c>
      <c r="DY81" s="7">
        <v>400</v>
      </c>
      <c r="DZ81" s="1"/>
      <c r="EA81" s="1"/>
      <c r="EB81" s="1"/>
      <c r="EC81" s="1" t="s">
        <v>111</v>
      </c>
      <c r="ED81" s="1" t="s">
        <v>112</v>
      </c>
      <c r="EE81" s="1">
        <v>1</v>
      </c>
      <c r="EF81" s="1">
        <v>1</v>
      </c>
      <c r="EG81" s="1" t="s">
        <v>113</v>
      </c>
      <c r="EH81" s="1" t="s">
        <v>114</v>
      </c>
      <c r="EI81" s="1" t="s">
        <v>111</v>
      </c>
      <c r="EJ81" s="1" t="s">
        <v>114</v>
      </c>
      <c r="EK81" s="1">
        <v>5</v>
      </c>
      <c r="EL81" s="1">
        <v>5</v>
      </c>
    </row>
    <row r="82" spans="1:142" x14ac:dyDescent="0.25">
      <c r="A82" s="5">
        <v>78</v>
      </c>
      <c r="B82" s="17" t="s">
        <v>268</v>
      </c>
      <c r="C82" s="1" t="s">
        <v>269</v>
      </c>
      <c r="D82" s="35">
        <v>45470</v>
      </c>
      <c r="E82" s="1">
        <v>2</v>
      </c>
      <c r="F82" s="36"/>
      <c r="G82" s="1">
        <v>1</v>
      </c>
      <c r="H82" s="1">
        <v>25</v>
      </c>
      <c r="I82" s="1">
        <v>1</v>
      </c>
      <c r="J82" s="1">
        <v>2</v>
      </c>
      <c r="K82" s="1">
        <v>10</v>
      </c>
      <c r="L82" s="1">
        <f t="shared" si="11"/>
        <v>3</v>
      </c>
      <c r="M82" s="1" t="s">
        <v>107</v>
      </c>
      <c r="N82" s="1" t="s">
        <v>108</v>
      </c>
      <c r="O82" s="1" t="s">
        <v>109</v>
      </c>
      <c r="P82" s="1" t="s">
        <v>110</v>
      </c>
      <c r="Q82" s="1" t="s">
        <v>110</v>
      </c>
      <c r="R82" s="7">
        <v>2</v>
      </c>
      <c r="S82" s="1">
        <v>4</v>
      </c>
      <c r="T82" s="1">
        <v>0</v>
      </c>
      <c r="U82" s="1"/>
      <c r="V82" s="1"/>
      <c r="W82" s="1"/>
      <c r="X82" s="1"/>
      <c r="Y82" s="1"/>
      <c r="Z82" s="3">
        <v>1</v>
      </c>
      <c r="AA82" s="3">
        <v>1</v>
      </c>
      <c r="AB82" s="3"/>
      <c r="AC82" s="3">
        <v>2</v>
      </c>
      <c r="AD82" s="3"/>
      <c r="AE82" s="3">
        <v>1</v>
      </c>
      <c r="AF82" s="1">
        <v>1</v>
      </c>
      <c r="AG82" s="1">
        <v>1</v>
      </c>
      <c r="AH82" s="1"/>
      <c r="AI82" s="1"/>
      <c r="AJ82" s="1"/>
      <c r="AK82" s="1"/>
      <c r="AL82" s="1"/>
      <c r="AM82" s="1"/>
      <c r="AN82" s="7">
        <v>7</v>
      </c>
      <c r="AO82" s="7">
        <v>5</v>
      </c>
      <c r="AP82" s="7">
        <f t="shared" si="21"/>
        <v>0.22</v>
      </c>
      <c r="AQ82" s="7">
        <f t="shared" si="12"/>
        <v>27.27272727272727</v>
      </c>
      <c r="AR82" s="7">
        <f t="shared" si="13"/>
        <v>0.2</v>
      </c>
      <c r="AS82" s="7">
        <f t="shared" si="14"/>
        <v>0.2</v>
      </c>
      <c r="AT82" s="7">
        <f t="shared" si="15"/>
        <v>0</v>
      </c>
      <c r="AU82" s="7">
        <f t="shared" si="16"/>
        <v>27.27272727272727</v>
      </c>
      <c r="AV82" s="7">
        <f t="shared" si="17"/>
        <v>0</v>
      </c>
      <c r="AW82" s="7">
        <f t="shared" si="18"/>
        <v>13.636363636363635</v>
      </c>
      <c r="AX82" s="7">
        <f t="shared" si="19"/>
        <v>54.54545454545454</v>
      </c>
      <c r="AY82" s="7">
        <v>0.4</v>
      </c>
      <c r="AZ82" s="18">
        <v>12</v>
      </c>
      <c r="BA82" s="18">
        <v>60</v>
      </c>
      <c r="BB82" s="7">
        <v>1</v>
      </c>
      <c r="BC82" s="7">
        <v>85</v>
      </c>
      <c r="BD82" s="7">
        <f t="shared" si="20"/>
        <v>17</v>
      </c>
      <c r="BE82" s="5">
        <v>1</v>
      </c>
      <c r="BF82" s="1">
        <v>650</v>
      </c>
      <c r="BG82" s="7">
        <v>5900</v>
      </c>
      <c r="BH82" s="7">
        <v>30000</v>
      </c>
      <c r="BI82" s="7">
        <v>1100</v>
      </c>
      <c r="BJ82" s="7">
        <v>22</v>
      </c>
      <c r="BK82" s="1"/>
      <c r="BL82" s="1"/>
      <c r="BM82" s="1"/>
      <c r="BN82" s="1"/>
      <c r="BO82" s="1"/>
      <c r="BP82" s="1">
        <v>1</v>
      </c>
      <c r="BQ82" s="1">
        <v>1</v>
      </c>
      <c r="BR82" s="1"/>
      <c r="BS82" s="1"/>
      <c r="BT82" s="1">
        <v>1</v>
      </c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7">
        <v>2</v>
      </c>
      <c r="CV82" s="7">
        <v>2</v>
      </c>
      <c r="CW82" s="7">
        <v>0</v>
      </c>
      <c r="CX82" s="7">
        <v>8</v>
      </c>
      <c r="CY82" s="1">
        <v>4</v>
      </c>
      <c r="CZ82" s="1"/>
      <c r="DA82" s="7">
        <v>1</v>
      </c>
      <c r="DB82" s="1"/>
      <c r="DC82" s="1"/>
      <c r="DD82" s="1"/>
      <c r="DE82" s="1"/>
      <c r="DF82" s="1">
        <v>1</v>
      </c>
      <c r="DG82" s="1"/>
      <c r="DH82" s="1"/>
      <c r="DI82" s="1"/>
      <c r="DJ82" s="1">
        <v>1</v>
      </c>
      <c r="DK82" s="1"/>
      <c r="DL82" s="1"/>
      <c r="DM82" s="1">
        <v>1</v>
      </c>
      <c r="DN82" s="1"/>
      <c r="DO82" s="1"/>
      <c r="DP82" s="1"/>
      <c r="DQ82" s="1">
        <v>1</v>
      </c>
      <c r="DR82" s="1"/>
      <c r="DS82" s="1"/>
      <c r="DT82" s="7">
        <v>3</v>
      </c>
      <c r="DU82" s="7">
        <v>2</v>
      </c>
      <c r="DV82" s="1"/>
      <c r="DW82" s="1"/>
      <c r="DX82" s="7">
        <v>900</v>
      </c>
      <c r="DY82" s="7">
        <v>1400</v>
      </c>
      <c r="DZ82" s="1"/>
      <c r="EA82" s="1"/>
      <c r="EB82" s="1"/>
      <c r="EC82" s="1" t="s">
        <v>111</v>
      </c>
      <c r="ED82" s="1" t="s">
        <v>112</v>
      </c>
      <c r="EE82" s="1">
        <v>1</v>
      </c>
      <c r="EF82" s="1">
        <v>1</v>
      </c>
      <c r="EG82" s="1" t="s">
        <v>113</v>
      </c>
      <c r="EH82" s="1" t="s">
        <v>114</v>
      </c>
      <c r="EI82" s="1" t="s">
        <v>111</v>
      </c>
      <c r="EJ82" s="1" t="s">
        <v>114</v>
      </c>
      <c r="EK82" s="1">
        <v>5</v>
      </c>
      <c r="EL82" s="1">
        <v>4</v>
      </c>
    </row>
    <row r="83" spans="1:142" x14ac:dyDescent="0.25">
      <c r="A83" s="5">
        <v>79</v>
      </c>
      <c r="B83" s="17" t="s">
        <v>270</v>
      </c>
      <c r="C83" s="1" t="s">
        <v>271</v>
      </c>
      <c r="D83" s="35">
        <v>45470</v>
      </c>
      <c r="E83" s="1">
        <v>2</v>
      </c>
      <c r="F83" s="36"/>
      <c r="G83" s="1">
        <v>1</v>
      </c>
      <c r="H83" s="1">
        <v>27</v>
      </c>
      <c r="I83" s="1">
        <v>12</v>
      </c>
      <c r="J83" s="1">
        <v>1</v>
      </c>
      <c r="K83" s="1">
        <v>5</v>
      </c>
      <c r="L83" s="1">
        <f t="shared" si="11"/>
        <v>1</v>
      </c>
      <c r="M83" s="1" t="s">
        <v>107</v>
      </c>
      <c r="N83" s="1" t="s">
        <v>120</v>
      </c>
      <c r="O83" s="1" t="s">
        <v>109</v>
      </c>
      <c r="P83" s="1" t="s">
        <v>110</v>
      </c>
      <c r="Q83" s="1" t="s">
        <v>110</v>
      </c>
      <c r="R83" s="7">
        <v>2</v>
      </c>
      <c r="S83" s="1">
        <v>3</v>
      </c>
      <c r="T83" s="1">
        <v>0</v>
      </c>
      <c r="U83" s="1"/>
      <c r="V83" s="1"/>
      <c r="W83" s="1"/>
      <c r="X83" s="1"/>
      <c r="Y83" s="1"/>
      <c r="Z83" s="3">
        <v>1</v>
      </c>
      <c r="AA83" s="3"/>
      <c r="AB83" s="3">
        <v>1</v>
      </c>
      <c r="AC83" s="3">
        <v>2</v>
      </c>
      <c r="AD83" s="3">
        <v>1</v>
      </c>
      <c r="AE83" s="3"/>
      <c r="AF83" s="1"/>
      <c r="AG83" s="1">
        <v>1</v>
      </c>
      <c r="AH83" s="1"/>
      <c r="AI83" s="1"/>
      <c r="AJ83" s="1"/>
      <c r="AK83" s="1"/>
      <c r="AL83" s="1"/>
      <c r="AM83" s="1"/>
      <c r="AN83" s="7">
        <v>6</v>
      </c>
      <c r="AO83" s="7">
        <v>5</v>
      </c>
      <c r="AP83" s="7">
        <f t="shared" si="21"/>
        <v>0.22</v>
      </c>
      <c r="AQ83" s="7">
        <f t="shared" si="12"/>
        <v>13.636363636363635</v>
      </c>
      <c r="AR83" s="7">
        <f t="shared" si="13"/>
        <v>0.2</v>
      </c>
      <c r="AS83" s="7">
        <f t="shared" si="14"/>
        <v>0</v>
      </c>
      <c r="AT83" s="7">
        <f t="shared" si="15"/>
        <v>13.636363636363635</v>
      </c>
      <c r="AU83" s="7">
        <f t="shared" si="16"/>
        <v>27.27272727272727</v>
      </c>
      <c r="AV83" s="7">
        <f t="shared" si="17"/>
        <v>13.636363636363635</v>
      </c>
      <c r="AW83" s="7">
        <f t="shared" si="18"/>
        <v>0</v>
      </c>
      <c r="AX83" s="7">
        <f t="shared" si="19"/>
        <v>27.27272727272727</v>
      </c>
      <c r="AY83" s="7">
        <v>0.4</v>
      </c>
      <c r="AZ83" s="18">
        <v>12.2</v>
      </c>
      <c r="BA83" s="18">
        <v>61</v>
      </c>
      <c r="BB83" s="7">
        <v>0</v>
      </c>
      <c r="BC83" s="7">
        <v>87</v>
      </c>
      <c r="BD83" s="7">
        <f t="shared" si="20"/>
        <v>17.399999999999999</v>
      </c>
      <c r="BE83" s="5">
        <v>0</v>
      </c>
      <c r="BF83" s="1">
        <v>0</v>
      </c>
      <c r="BG83" s="7">
        <v>5510</v>
      </c>
      <c r="BH83" s="7">
        <v>15000</v>
      </c>
      <c r="BI83" s="7">
        <v>1100</v>
      </c>
      <c r="BJ83" s="7">
        <v>22</v>
      </c>
      <c r="BK83" s="1"/>
      <c r="BL83" s="1"/>
      <c r="BM83" s="1">
        <v>1</v>
      </c>
      <c r="BN83" s="1"/>
      <c r="BO83" s="1"/>
      <c r="BP83" s="1"/>
      <c r="BQ83" s="1"/>
      <c r="BR83" s="1">
        <v>1</v>
      </c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7">
        <v>2</v>
      </c>
      <c r="CV83" s="7">
        <v>2</v>
      </c>
      <c r="CW83" s="7">
        <v>0</v>
      </c>
      <c r="CX83" s="7">
        <v>8</v>
      </c>
      <c r="CY83" s="1">
        <v>2</v>
      </c>
      <c r="CZ83" s="1"/>
      <c r="DA83" s="7">
        <v>1</v>
      </c>
      <c r="DB83" s="1"/>
      <c r="DC83" s="1">
        <v>1</v>
      </c>
      <c r="DD83" s="1"/>
      <c r="DE83" s="1"/>
      <c r="DF83" s="1">
        <v>1</v>
      </c>
      <c r="DG83" s="1"/>
      <c r="DH83" s="1"/>
      <c r="DI83" s="1"/>
      <c r="DJ83" s="1">
        <v>1</v>
      </c>
      <c r="DK83" s="1"/>
      <c r="DL83" s="1"/>
      <c r="DM83" s="1">
        <v>1</v>
      </c>
      <c r="DN83" s="1"/>
      <c r="DO83" s="1">
        <v>1</v>
      </c>
      <c r="DP83" s="1"/>
      <c r="DQ83" s="1">
        <v>1</v>
      </c>
      <c r="DR83" s="1"/>
      <c r="DS83" s="1"/>
      <c r="DT83" s="7">
        <v>3</v>
      </c>
      <c r="DU83" s="7">
        <v>2</v>
      </c>
      <c r="DV83" s="1"/>
      <c r="DW83" s="1"/>
      <c r="DX83" s="7">
        <v>900</v>
      </c>
      <c r="DY83" s="7">
        <v>700</v>
      </c>
      <c r="DZ83" s="1"/>
      <c r="EA83" s="1"/>
      <c r="EB83" s="1"/>
      <c r="EC83" s="1" t="s">
        <v>111</v>
      </c>
      <c r="ED83" s="1" t="s">
        <v>112</v>
      </c>
      <c r="EE83" s="1">
        <v>1</v>
      </c>
      <c r="EF83" s="1">
        <v>1</v>
      </c>
      <c r="EG83" s="1" t="s">
        <v>113</v>
      </c>
      <c r="EH83" s="1" t="s">
        <v>114</v>
      </c>
      <c r="EI83" s="1" t="s">
        <v>111</v>
      </c>
      <c r="EJ83" s="1" t="s">
        <v>114</v>
      </c>
      <c r="EK83" s="1">
        <v>5</v>
      </c>
      <c r="EL83" s="1">
        <v>5</v>
      </c>
    </row>
    <row r="84" spans="1:142" x14ac:dyDescent="0.25">
      <c r="A84" s="5">
        <v>80</v>
      </c>
      <c r="B84" s="17" t="s">
        <v>272</v>
      </c>
      <c r="C84" s="1" t="s">
        <v>273</v>
      </c>
      <c r="D84" s="35">
        <v>45625</v>
      </c>
      <c r="E84" s="1">
        <v>2</v>
      </c>
      <c r="F84" s="36"/>
      <c r="G84" s="1">
        <v>1</v>
      </c>
      <c r="H84" s="1">
        <v>55</v>
      </c>
      <c r="I84" s="1">
        <v>30</v>
      </c>
      <c r="J84" s="1">
        <v>4</v>
      </c>
      <c r="K84" s="1">
        <v>0</v>
      </c>
      <c r="L84" s="1">
        <f t="shared" si="11"/>
        <v>0</v>
      </c>
      <c r="M84" s="1" t="s">
        <v>107</v>
      </c>
      <c r="N84" s="1" t="s">
        <v>120</v>
      </c>
      <c r="O84" s="1" t="s">
        <v>109</v>
      </c>
      <c r="P84" s="1" t="s">
        <v>110</v>
      </c>
      <c r="Q84" s="1" t="s">
        <v>110</v>
      </c>
      <c r="R84" s="7">
        <v>1</v>
      </c>
      <c r="S84" s="1">
        <v>2</v>
      </c>
      <c r="T84" s="1">
        <v>6.3219999999999998E-2</v>
      </c>
      <c r="U84" s="1"/>
      <c r="V84" s="1"/>
      <c r="W84" s="1"/>
      <c r="X84" s="1"/>
      <c r="Y84" s="1"/>
      <c r="Z84" s="3"/>
      <c r="AA84" s="3">
        <v>2</v>
      </c>
      <c r="AB84" s="3"/>
      <c r="AC84" s="3"/>
      <c r="AD84" s="3"/>
      <c r="AE84" s="3">
        <v>1</v>
      </c>
      <c r="AF84" s="1"/>
      <c r="AG84" s="1">
        <v>1</v>
      </c>
      <c r="AH84" s="1"/>
      <c r="AI84" s="1"/>
      <c r="AJ84" s="1"/>
      <c r="AK84" s="1"/>
      <c r="AL84" s="1"/>
      <c r="AM84" s="1"/>
      <c r="AN84" s="7">
        <v>7</v>
      </c>
      <c r="AO84" s="7">
        <v>3</v>
      </c>
      <c r="AP84" s="7">
        <f t="shared" si="21"/>
        <v>0.16</v>
      </c>
      <c r="AQ84" s="7">
        <f t="shared" si="12"/>
        <v>37.5</v>
      </c>
      <c r="AR84" s="7">
        <f t="shared" si="13"/>
        <v>0</v>
      </c>
      <c r="AS84" s="7">
        <f t="shared" si="14"/>
        <v>0.66666666666666663</v>
      </c>
      <c r="AT84" s="7">
        <f t="shared" si="15"/>
        <v>0</v>
      </c>
      <c r="AU84" s="7">
        <f t="shared" si="16"/>
        <v>0</v>
      </c>
      <c r="AV84" s="7">
        <f t="shared" si="17"/>
        <v>0</v>
      </c>
      <c r="AW84" s="7">
        <f t="shared" si="18"/>
        <v>18.75</v>
      </c>
      <c r="AX84" s="7">
        <f t="shared" si="19"/>
        <v>56.25</v>
      </c>
      <c r="AY84" s="7">
        <v>0.66666666669999997</v>
      </c>
      <c r="AZ84" s="18">
        <v>12.666666666666666</v>
      </c>
      <c r="BA84" s="18">
        <v>38</v>
      </c>
      <c r="BB84" s="7">
        <v>0</v>
      </c>
      <c r="BC84" s="7">
        <v>48</v>
      </c>
      <c r="BD84" s="7">
        <f t="shared" si="20"/>
        <v>16</v>
      </c>
      <c r="BE84" s="5">
        <v>1</v>
      </c>
      <c r="BF84" s="1">
        <v>550</v>
      </c>
      <c r="BG84" s="7">
        <v>3480</v>
      </c>
      <c r="BH84" s="7">
        <v>15000</v>
      </c>
      <c r="BI84" s="7">
        <v>600</v>
      </c>
      <c r="BJ84" s="7">
        <v>12</v>
      </c>
      <c r="BK84" s="1"/>
      <c r="BL84" s="1"/>
      <c r="BM84" s="1"/>
      <c r="BN84" s="1"/>
      <c r="BO84" s="1"/>
      <c r="BP84" s="1">
        <v>1</v>
      </c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7">
        <v>2</v>
      </c>
      <c r="CV84" s="7">
        <v>2</v>
      </c>
      <c r="CW84" s="7">
        <v>0</v>
      </c>
      <c r="CX84" s="7">
        <v>8</v>
      </c>
      <c r="CY84" s="1">
        <v>2</v>
      </c>
      <c r="CZ84" s="1"/>
      <c r="DA84" s="7">
        <v>1</v>
      </c>
      <c r="DB84" s="1"/>
      <c r="DC84" s="1"/>
      <c r="DD84" s="1"/>
      <c r="DE84" s="1"/>
      <c r="DF84" s="1">
        <v>1</v>
      </c>
      <c r="DG84" s="1"/>
      <c r="DH84" s="1"/>
      <c r="DI84" s="1"/>
      <c r="DJ84" s="1">
        <v>1</v>
      </c>
      <c r="DK84" s="1"/>
      <c r="DL84" s="1"/>
      <c r="DM84" s="1">
        <v>1</v>
      </c>
      <c r="DN84" s="1"/>
      <c r="DO84" s="1"/>
      <c r="DP84" s="1"/>
      <c r="DQ84" s="1">
        <v>1</v>
      </c>
      <c r="DR84" s="1"/>
      <c r="DS84" s="1"/>
      <c r="DT84" s="7">
        <v>3</v>
      </c>
      <c r="DU84" s="7">
        <v>2</v>
      </c>
      <c r="DV84" s="1"/>
      <c r="DW84" s="1"/>
      <c r="DX84" s="7">
        <v>500</v>
      </c>
      <c r="DY84" s="7">
        <v>0</v>
      </c>
      <c r="DZ84" s="1"/>
      <c r="EA84" s="1"/>
      <c r="EB84" s="1"/>
      <c r="EC84" s="1" t="s">
        <v>111</v>
      </c>
      <c r="ED84" s="1" t="s">
        <v>112</v>
      </c>
      <c r="EE84" s="1">
        <v>1</v>
      </c>
      <c r="EF84" s="1">
        <v>1</v>
      </c>
      <c r="EG84" s="1" t="s">
        <v>113</v>
      </c>
      <c r="EH84" s="1" t="s">
        <v>114</v>
      </c>
      <c r="EI84" s="1" t="s">
        <v>111</v>
      </c>
      <c r="EJ84" s="1" t="s">
        <v>114</v>
      </c>
      <c r="EK84" s="1">
        <v>6</v>
      </c>
      <c r="EL84" s="1">
        <v>5</v>
      </c>
    </row>
    <row r="85" spans="1:142" x14ac:dyDescent="0.25">
      <c r="A85" s="5">
        <v>81</v>
      </c>
      <c r="B85" s="17" t="s">
        <v>274</v>
      </c>
      <c r="C85" s="1" t="s">
        <v>275</v>
      </c>
      <c r="D85" s="35">
        <v>45625</v>
      </c>
      <c r="E85" s="1">
        <v>2</v>
      </c>
      <c r="F85" s="36"/>
      <c r="G85" s="1">
        <v>1</v>
      </c>
      <c r="H85" s="1">
        <v>40</v>
      </c>
      <c r="I85" s="1">
        <v>14</v>
      </c>
      <c r="J85" s="1">
        <v>6</v>
      </c>
      <c r="K85" s="1">
        <v>8</v>
      </c>
      <c r="L85" s="1">
        <f t="shared" si="11"/>
        <v>2</v>
      </c>
      <c r="M85" s="1" t="s">
        <v>107</v>
      </c>
      <c r="N85" s="1" t="s">
        <v>120</v>
      </c>
      <c r="O85" s="1" t="s">
        <v>109</v>
      </c>
      <c r="P85" s="1" t="s">
        <v>110</v>
      </c>
      <c r="Q85" s="1" t="s">
        <v>110</v>
      </c>
      <c r="R85" s="7">
        <v>3</v>
      </c>
      <c r="S85" s="1">
        <v>4</v>
      </c>
      <c r="T85" s="1">
        <v>2.5288000000000001E-2</v>
      </c>
      <c r="U85" s="1"/>
      <c r="V85" s="1"/>
      <c r="W85" s="1"/>
      <c r="X85" s="1"/>
      <c r="Y85" s="1"/>
      <c r="Z85" s="3"/>
      <c r="AA85" s="3">
        <v>2</v>
      </c>
      <c r="AB85" s="3"/>
      <c r="AC85" s="3"/>
      <c r="AD85" s="3"/>
      <c r="AE85" s="3"/>
      <c r="AF85" s="1"/>
      <c r="AG85" s="1"/>
      <c r="AH85" s="1"/>
      <c r="AI85" s="1"/>
      <c r="AJ85" s="1"/>
      <c r="AK85" s="1"/>
      <c r="AL85" s="1"/>
      <c r="AM85" s="1"/>
      <c r="AN85" s="7">
        <v>9</v>
      </c>
      <c r="AO85" s="7">
        <v>2</v>
      </c>
      <c r="AP85" s="7">
        <f t="shared" si="21"/>
        <v>0.06</v>
      </c>
      <c r="AQ85" s="7">
        <f t="shared" si="12"/>
        <v>100</v>
      </c>
      <c r="AR85" s="7">
        <f t="shared" si="13"/>
        <v>0</v>
      </c>
      <c r="AS85" s="7">
        <f t="shared" si="14"/>
        <v>1</v>
      </c>
      <c r="AT85" s="7">
        <f t="shared" si="15"/>
        <v>0</v>
      </c>
      <c r="AU85" s="7">
        <f t="shared" si="16"/>
        <v>0</v>
      </c>
      <c r="AV85" s="7">
        <f t="shared" si="17"/>
        <v>0</v>
      </c>
      <c r="AW85" s="7">
        <f t="shared" si="18"/>
        <v>0</v>
      </c>
      <c r="AX85" s="7">
        <f t="shared" si="19"/>
        <v>100</v>
      </c>
      <c r="AY85" s="7">
        <v>1</v>
      </c>
      <c r="AZ85" s="18">
        <v>6</v>
      </c>
      <c r="BA85" s="18">
        <v>12</v>
      </c>
      <c r="BB85" s="7">
        <v>0</v>
      </c>
      <c r="BC85" s="7">
        <v>18</v>
      </c>
      <c r="BD85" s="7">
        <f t="shared" si="20"/>
        <v>9</v>
      </c>
      <c r="BE85" s="5">
        <v>0</v>
      </c>
      <c r="BF85" s="1">
        <v>0</v>
      </c>
      <c r="BG85" s="7">
        <v>1070</v>
      </c>
      <c r="BH85" s="7">
        <v>30000</v>
      </c>
      <c r="BI85" s="7">
        <v>400</v>
      </c>
      <c r="BJ85" s="7">
        <v>8</v>
      </c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7">
        <v>2</v>
      </c>
      <c r="CV85" s="7">
        <v>2</v>
      </c>
      <c r="CW85" s="7">
        <v>0</v>
      </c>
      <c r="CX85" s="7">
        <v>8</v>
      </c>
      <c r="CY85" s="1">
        <v>4</v>
      </c>
      <c r="CZ85" s="1"/>
      <c r="DA85" s="7">
        <v>1</v>
      </c>
      <c r="DB85" s="1"/>
      <c r="DC85" s="1"/>
      <c r="DD85" s="1"/>
      <c r="DE85" s="1"/>
      <c r="DF85" s="1">
        <v>1</v>
      </c>
      <c r="DG85" s="1"/>
      <c r="DH85" s="1"/>
      <c r="DI85" s="1"/>
      <c r="DJ85" s="1">
        <v>1</v>
      </c>
      <c r="DK85" s="1"/>
      <c r="DL85" s="1"/>
      <c r="DM85" s="1">
        <v>1</v>
      </c>
      <c r="DN85" s="1"/>
      <c r="DO85" s="1"/>
      <c r="DP85" s="1"/>
      <c r="DQ85" s="1">
        <v>1</v>
      </c>
      <c r="DR85" s="1"/>
      <c r="DS85" s="1"/>
      <c r="DT85" s="7">
        <v>3</v>
      </c>
      <c r="DU85" s="7">
        <v>3</v>
      </c>
      <c r="DV85" s="1"/>
      <c r="DW85" s="1"/>
      <c r="DX85" s="7">
        <v>400</v>
      </c>
      <c r="DY85" s="7">
        <v>600</v>
      </c>
      <c r="DZ85" s="1"/>
      <c r="EA85" s="1"/>
      <c r="EB85" s="1"/>
      <c r="EC85" s="1" t="s">
        <v>111</v>
      </c>
      <c r="ED85" s="1" t="s">
        <v>112</v>
      </c>
      <c r="EE85" s="1">
        <v>1</v>
      </c>
      <c r="EF85" s="1">
        <v>1</v>
      </c>
      <c r="EG85" s="1" t="s">
        <v>113</v>
      </c>
      <c r="EH85" s="1" t="s">
        <v>114</v>
      </c>
      <c r="EI85" s="1" t="s">
        <v>111</v>
      </c>
      <c r="EJ85" s="1" t="s">
        <v>114</v>
      </c>
      <c r="EK85" s="1">
        <v>5</v>
      </c>
      <c r="EL85" s="1">
        <v>5</v>
      </c>
    </row>
    <row r="86" spans="1:142" x14ac:dyDescent="0.25">
      <c r="A86" s="5">
        <v>82</v>
      </c>
      <c r="B86" s="17" t="s">
        <v>276</v>
      </c>
      <c r="C86" s="1" t="s">
        <v>277</v>
      </c>
      <c r="D86" s="35">
        <v>45366</v>
      </c>
      <c r="E86" s="1">
        <v>2</v>
      </c>
      <c r="F86" s="36"/>
      <c r="G86" s="1">
        <v>1</v>
      </c>
      <c r="H86" s="1">
        <v>55</v>
      </c>
      <c r="I86" s="1">
        <v>10</v>
      </c>
      <c r="J86" s="1">
        <v>9</v>
      </c>
      <c r="K86" s="1">
        <v>8</v>
      </c>
      <c r="L86" s="1">
        <f t="shared" si="11"/>
        <v>2</v>
      </c>
      <c r="M86" s="1" t="s">
        <v>107</v>
      </c>
      <c r="N86" s="1" t="s">
        <v>120</v>
      </c>
      <c r="O86" s="1" t="s">
        <v>109</v>
      </c>
      <c r="P86" s="1" t="s">
        <v>110</v>
      </c>
      <c r="Q86" s="1" t="s">
        <v>110</v>
      </c>
      <c r="R86" s="7">
        <v>1</v>
      </c>
      <c r="S86" s="1">
        <v>3</v>
      </c>
      <c r="T86" s="1">
        <v>0.50575999999999999</v>
      </c>
      <c r="U86" s="1"/>
      <c r="V86" s="1"/>
      <c r="W86" s="1"/>
      <c r="X86" s="1"/>
      <c r="Y86" s="1"/>
      <c r="Z86" s="3">
        <v>1</v>
      </c>
      <c r="AA86" s="3"/>
      <c r="AB86" s="3"/>
      <c r="AC86" s="3">
        <v>1</v>
      </c>
      <c r="AD86" s="3"/>
      <c r="AE86" s="3">
        <v>1</v>
      </c>
      <c r="AF86" s="1"/>
      <c r="AG86" s="1">
        <v>1</v>
      </c>
      <c r="AH86" s="1"/>
      <c r="AI86" s="1"/>
      <c r="AJ86" s="1"/>
      <c r="AK86" s="1"/>
      <c r="AL86" s="1"/>
      <c r="AM86" s="1"/>
      <c r="AN86" s="7">
        <v>9</v>
      </c>
      <c r="AO86" s="7">
        <v>3</v>
      </c>
      <c r="AP86" s="7">
        <f t="shared" si="21"/>
        <v>0.16</v>
      </c>
      <c r="AQ86" s="7">
        <f t="shared" si="12"/>
        <v>18.75</v>
      </c>
      <c r="AR86" s="7">
        <f t="shared" si="13"/>
        <v>0.33333333333333331</v>
      </c>
      <c r="AS86" s="7">
        <f t="shared" si="14"/>
        <v>0</v>
      </c>
      <c r="AT86" s="7">
        <f t="shared" si="15"/>
        <v>0</v>
      </c>
      <c r="AU86" s="7">
        <f t="shared" si="16"/>
        <v>18.75</v>
      </c>
      <c r="AV86" s="7">
        <f t="shared" si="17"/>
        <v>0</v>
      </c>
      <c r="AW86" s="7">
        <f t="shared" si="18"/>
        <v>18.75</v>
      </c>
      <c r="AX86" s="7">
        <f t="shared" si="19"/>
        <v>37.5</v>
      </c>
      <c r="AY86" s="7">
        <v>0.33329999999999999</v>
      </c>
      <c r="AZ86" s="18">
        <v>9.3333333333333339</v>
      </c>
      <c r="BA86" s="18">
        <v>28</v>
      </c>
      <c r="BB86" s="7">
        <v>0</v>
      </c>
      <c r="BC86" s="7">
        <v>43</v>
      </c>
      <c r="BD86" s="7">
        <f t="shared" si="20"/>
        <v>14.333333333333334</v>
      </c>
      <c r="BE86" s="5">
        <v>0</v>
      </c>
      <c r="BF86" s="1">
        <v>0</v>
      </c>
      <c r="BG86" s="7">
        <v>2460</v>
      </c>
      <c r="BH86" s="7">
        <v>30000</v>
      </c>
      <c r="BI86" s="7">
        <v>600</v>
      </c>
      <c r="BJ86" s="7">
        <v>12</v>
      </c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>
        <v>1</v>
      </c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>
        <v>1</v>
      </c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7">
        <v>2</v>
      </c>
      <c r="CV86" s="7">
        <v>2</v>
      </c>
      <c r="CW86" s="7">
        <v>0</v>
      </c>
      <c r="CX86" s="7">
        <v>8</v>
      </c>
      <c r="CY86" s="1">
        <v>4</v>
      </c>
      <c r="CZ86" s="1"/>
      <c r="DA86" s="7">
        <v>1</v>
      </c>
      <c r="DB86" s="1"/>
      <c r="DC86" s="1"/>
      <c r="DD86" s="1"/>
      <c r="DE86" s="1"/>
      <c r="DF86" s="1">
        <v>1</v>
      </c>
      <c r="DG86" s="1"/>
      <c r="DH86" s="1"/>
      <c r="DI86" s="1"/>
      <c r="DJ86" s="1">
        <v>1</v>
      </c>
      <c r="DK86" s="1"/>
      <c r="DL86" s="1"/>
      <c r="DM86" s="1">
        <v>1</v>
      </c>
      <c r="DN86" s="1"/>
      <c r="DO86" s="1"/>
      <c r="DP86" s="1"/>
      <c r="DQ86" s="1">
        <v>1</v>
      </c>
      <c r="DR86" s="1"/>
      <c r="DS86" s="1"/>
      <c r="DT86" s="7">
        <v>3</v>
      </c>
      <c r="DU86" s="7">
        <v>1</v>
      </c>
      <c r="DV86" s="7">
        <v>104100</v>
      </c>
      <c r="DW86" s="1"/>
      <c r="DX86" s="7">
        <v>600</v>
      </c>
      <c r="DY86" s="7">
        <v>1200</v>
      </c>
      <c r="DZ86" s="1"/>
      <c r="EA86" s="1"/>
      <c r="EB86" s="1"/>
      <c r="EC86" s="1" t="s">
        <v>111</v>
      </c>
      <c r="ED86" s="1" t="s">
        <v>112</v>
      </c>
      <c r="EE86" s="1">
        <v>1</v>
      </c>
      <c r="EF86" s="1">
        <v>1</v>
      </c>
      <c r="EG86" s="1" t="s">
        <v>113</v>
      </c>
      <c r="EH86" s="1" t="s">
        <v>114</v>
      </c>
      <c r="EI86" s="1" t="s">
        <v>111</v>
      </c>
      <c r="EJ86" s="1" t="s">
        <v>114</v>
      </c>
      <c r="EK86" s="1">
        <v>5</v>
      </c>
      <c r="EL86" s="1">
        <v>5</v>
      </c>
    </row>
    <row r="87" spans="1:142" x14ac:dyDescent="0.25">
      <c r="A87" s="5">
        <v>83</v>
      </c>
      <c r="B87" s="17" t="s">
        <v>278</v>
      </c>
      <c r="C87" s="1" t="s">
        <v>279</v>
      </c>
      <c r="D87" s="35">
        <v>45366</v>
      </c>
      <c r="E87" s="1">
        <v>2</v>
      </c>
      <c r="F87" s="36"/>
      <c r="G87" s="1">
        <v>1</v>
      </c>
      <c r="H87" s="1">
        <v>33</v>
      </c>
      <c r="I87" s="1">
        <v>16</v>
      </c>
      <c r="J87" s="1">
        <v>12</v>
      </c>
      <c r="K87" s="1">
        <v>12</v>
      </c>
      <c r="L87" s="1">
        <f t="shared" si="11"/>
        <v>4</v>
      </c>
      <c r="M87" s="1" t="s">
        <v>107</v>
      </c>
      <c r="N87" s="1" t="s">
        <v>120</v>
      </c>
      <c r="O87" s="1" t="s">
        <v>109</v>
      </c>
      <c r="P87" s="1" t="s">
        <v>110</v>
      </c>
      <c r="Q87" s="1" t="s">
        <v>110</v>
      </c>
      <c r="R87" s="7">
        <v>1</v>
      </c>
      <c r="S87" s="1">
        <v>3</v>
      </c>
      <c r="T87" s="1">
        <v>0.25287999999999999</v>
      </c>
      <c r="U87" s="1"/>
      <c r="V87" s="1"/>
      <c r="W87" s="1"/>
      <c r="X87" s="1"/>
      <c r="Y87" s="1"/>
      <c r="Z87" s="3">
        <v>1</v>
      </c>
      <c r="AA87" s="3"/>
      <c r="AB87" s="3">
        <v>1</v>
      </c>
      <c r="AC87" s="3"/>
      <c r="AD87" s="3"/>
      <c r="AE87" s="3">
        <v>1</v>
      </c>
      <c r="AF87" s="1"/>
      <c r="AG87" s="1">
        <v>1</v>
      </c>
      <c r="AH87" s="1"/>
      <c r="AI87" s="1"/>
      <c r="AJ87" s="1"/>
      <c r="AK87" s="1"/>
      <c r="AL87" s="1">
        <v>5</v>
      </c>
      <c r="AM87" s="1">
        <v>1</v>
      </c>
      <c r="AN87" s="7">
        <v>9</v>
      </c>
      <c r="AO87" s="7">
        <v>3</v>
      </c>
      <c r="AP87" s="7">
        <f t="shared" si="21"/>
        <v>0.16</v>
      </c>
      <c r="AQ87" s="7">
        <f t="shared" si="12"/>
        <v>18.75</v>
      </c>
      <c r="AR87" s="7">
        <f t="shared" si="13"/>
        <v>0.33333333333333331</v>
      </c>
      <c r="AS87" s="7">
        <f t="shared" si="14"/>
        <v>0</v>
      </c>
      <c r="AT87" s="7">
        <f t="shared" si="15"/>
        <v>18.75</v>
      </c>
      <c r="AU87" s="7">
        <f t="shared" si="16"/>
        <v>0</v>
      </c>
      <c r="AV87" s="7">
        <f t="shared" si="17"/>
        <v>0</v>
      </c>
      <c r="AW87" s="7">
        <f t="shared" si="18"/>
        <v>18.75</v>
      </c>
      <c r="AX87" s="7">
        <f t="shared" si="19"/>
        <v>18.75</v>
      </c>
      <c r="AY87" s="7">
        <v>0.33329999999999999</v>
      </c>
      <c r="AZ87" s="18">
        <v>9.3333333333333339</v>
      </c>
      <c r="BA87" s="18">
        <v>28</v>
      </c>
      <c r="BB87" s="7">
        <v>0.5</v>
      </c>
      <c r="BC87" s="7">
        <v>48</v>
      </c>
      <c r="BD87" s="7">
        <f t="shared" si="20"/>
        <v>16</v>
      </c>
      <c r="BE87" s="5">
        <v>0</v>
      </c>
      <c r="BF87" s="1">
        <v>0</v>
      </c>
      <c r="BG87" s="7">
        <v>3070</v>
      </c>
      <c r="BH87" s="7">
        <v>30000</v>
      </c>
      <c r="BI87" s="7">
        <v>600</v>
      </c>
      <c r="BJ87" s="7">
        <v>12</v>
      </c>
      <c r="BK87" s="1"/>
      <c r="BL87" s="1"/>
      <c r="BM87" s="1"/>
      <c r="BN87" s="1"/>
      <c r="BO87" s="1"/>
      <c r="BP87" s="1"/>
      <c r="BQ87" s="1">
        <v>1</v>
      </c>
      <c r="BR87" s="1">
        <v>1</v>
      </c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>
        <v>1</v>
      </c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7">
        <v>6</v>
      </c>
      <c r="CV87" s="7">
        <v>2</v>
      </c>
      <c r="CW87" s="7">
        <v>0</v>
      </c>
      <c r="CX87" s="7">
        <v>8</v>
      </c>
      <c r="CY87" s="1">
        <v>4</v>
      </c>
      <c r="CZ87" s="1"/>
      <c r="DA87" s="7">
        <v>1</v>
      </c>
      <c r="DB87" s="1"/>
      <c r="DC87" s="1"/>
      <c r="DD87" s="1"/>
      <c r="DE87" s="1"/>
      <c r="DF87" s="1">
        <v>1</v>
      </c>
      <c r="DG87" s="1"/>
      <c r="DH87" s="1"/>
      <c r="DI87" s="1"/>
      <c r="DJ87" s="1">
        <v>1</v>
      </c>
      <c r="DK87" s="1"/>
      <c r="DL87" s="1"/>
      <c r="DM87" s="1">
        <v>1</v>
      </c>
      <c r="DN87" s="1"/>
      <c r="DO87" s="1"/>
      <c r="DP87" s="1"/>
      <c r="DQ87" s="1">
        <v>1</v>
      </c>
      <c r="DR87" s="1"/>
      <c r="DS87" s="1"/>
      <c r="DT87" s="7">
        <v>3</v>
      </c>
      <c r="DU87" s="7">
        <v>3</v>
      </c>
      <c r="DV87" s="1"/>
      <c r="DW87" s="1"/>
      <c r="DX87" s="7">
        <v>500</v>
      </c>
      <c r="DY87" s="7">
        <v>900</v>
      </c>
      <c r="DZ87" s="1"/>
      <c r="EA87" s="1"/>
      <c r="EB87" s="1"/>
      <c r="EC87" s="1" t="s">
        <v>111</v>
      </c>
      <c r="ED87" s="1" t="s">
        <v>112</v>
      </c>
      <c r="EE87" s="1">
        <v>1</v>
      </c>
      <c r="EF87" s="1">
        <v>1</v>
      </c>
      <c r="EG87" s="1" t="s">
        <v>113</v>
      </c>
      <c r="EH87" s="1" t="s">
        <v>114</v>
      </c>
      <c r="EI87" s="1" t="s">
        <v>111</v>
      </c>
      <c r="EJ87" s="1" t="s">
        <v>114</v>
      </c>
      <c r="EK87" s="1">
        <v>5</v>
      </c>
      <c r="EL87" s="1">
        <v>4</v>
      </c>
    </row>
    <row r="88" spans="1:142" x14ac:dyDescent="0.25">
      <c r="A88" s="5">
        <v>84</v>
      </c>
      <c r="B88" s="17" t="s">
        <v>280</v>
      </c>
      <c r="C88" s="1" t="s">
        <v>281</v>
      </c>
      <c r="D88" s="35">
        <v>45366</v>
      </c>
      <c r="E88" s="1">
        <v>2</v>
      </c>
      <c r="F88" s="36"/>
      <c r="G88" s="1">
        <v>1</v>
      </c>
      <c r="H88" s="1">
        <v>55</v>
      </c>
      <c r="I88" s="1">
        <v>30</v>
      </c>
      <c r="J88" s="1">
        <v>20</v>
      </c>
      <c r="K88" s="1">
        <v>0</v>
      </c>
      <c r="L88" s="1">
        <f t="shared" si="11"/>
        <v>0</v>
      </c>
      <c r="M88" s="1" t="s">
        <v>107</v>
      </c>
      <c r="N88" s="1" t="s">
        <v>120</v>
      </c>
      <c r="O88" s="1" t="s">
        <v>109</v>
      </c>
      <c r="P88" s="1" t="s">
        <v>110</v>
      </c>
      <c r="Q88" s="1" t="s">
        <v>110</v>
      </c>
      <c r="R88" s="7">
        <v>2</v>
      </c>
      <c r="S88" s="1">
        <v>4</v>
      </c>
      <c r="T88" s="1">
        <v>5.0576000000000003E-2</v>
      </c>
      <c r="U88" s="1"/>
      <c r="V88" s="1"/>
      <c r="W88" s="1"/>
      <c r="X88" s="1"/>
      <c r="Y88" s="1"/>
      <c r="Z88" s="3"/>
      <c r="AA88" s="3">
        <v>1</v>
      </c>
      <c r="AB88" s="3">
        <v>2</v>
      </c>
      <c r="AC88" s="3"/>
      <c r="AD88" s="3"/>
      <c r="AE88" s="3">
        <v>2</v>
      </c>
      <c r="AF88" s="1"/>
      <c r="AG88" s="1"/>
      <c r="AH88" s="1"/>
      <c r="AI88" s="1"/>
      <c r="AJ88" s="1"/>
      <c r="AK88" s="1"/>
      <c r="AL88" s="1"/>
      <c r="AM88" s="1">
        <v>2</v>
      </c>
      <c r="AN88" s="7">
        <v>6</v>
      </c>
      <c r="AO88" s="7">
        <v>5</v>
      </c>
      <c r="AP88" s="7">
        <f t="shared" si="21"/>
        <v>0.29000000000000004</v>
      </c>
      <c r="AQ88" s="7">
        <f t="shared" si="12"/>
        <v>10.344827586206895</v>
      </c>
      <c r="AR88" s="7">
        <f t="shared" si="13"/>
        <v>0</v>
      </c>
      <c r="AS88" s="7">
        <f t="shared" si="14"/>
        <v>0.2</v>
      </c>
      <c r="AT88" s="7">
        <f t="shared" si="15"/>
        <v>20.68965517241379</v>
      </c>
      <c r="AU88" s="7">
        <f t="shared" si="16"/>
        <v>0</v>
      </c>
      <c r="AV88" s="7">
        <f t="shared" si="17"/>
        <v>0</v>
      </c>
      <c r="AW88" s="7">
        <f t="shared" si="18"/>
        <v>20.68965517241379</v>
      </c>
      <c r="AX88" s="7">
        <f t="shared" si="19"/>
        <v>31.034482758620683</v>
      </c>
      <c r="AY88" s="7">
        <v>0.4</v>
      </c>
      <c r="AZ88" s="18">
        <v>10</v>
      </c>
      <c r="BA88" s="18">
        <v>50</v>
      </c>
      <c r="BB88" s="7">
        <v>0.5</v>
      </c>
      <c r="BC88" s="7">
        <v>72</v>
      </c>
      <c r="BD88" s="7">
        <f t="shared" si="20"/>
        <v>14.4</v>
      </c>
      <c r="BE88" s="5">
        <v>0</v>
      </c>
      <c r="BF88" s="1">
        <v>0</v>
      </c>
      <c r="BG88" s="7">
        <v>4540</v>
      </c>
      <c r="BH88" s="7">
        <v>30000</v>
      </c>
      <c r="BI88" s="7">
        <v>1000</v>
      </c>
      <c r="BJ88" s="7">
        <v>20</v>
      </c>
      <c r="BK88" s="1"/>
      <c r="BL88" s="1"/>
      <c r="BM88" s="1"/>
      <c r="BN88" s="1"/>
      <c r="BO88" s="1"/>
      <c r="BP88" s="1"/>
      <c r="BQ88" s="1"/>
      <c r="BR88" s="1">
        <v>2</v>
      </c>
      <c r="BS88" s="1"/>
      <c r="BT88" s="1">
        <v>1</v>
      </c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7">
        <v>6</v>
      </c>
      <c r="CV88" s="7">
        <v>2</v>
      </c>
      <c r="CW88" s="7">
        <v>0</v>
      </c>
      <c r="CX88" s="7">
        <v>8</v>
      </c>
      <c r="CY88" s="1">
        <v>4</v>
      </c>
      <c r="CZ88" s="1"/>
      <c r="DA88" s="7">
        <v>1</v>
      </c>
      <c r="DB88" s="1"/>
      <c r="DC88" s="1"/>
      <c r="DD88" s="1"/>
      <c r="DE88" s="1"/>
      <c r="DF88" s="1">
        <v>1</v>
      </c>
      <c r="DG88" s="1"/>
      <c r="DH88" s="1"/>
      <c r="DI88" s="1"/>
      <c r="DJ88" s="1">
        <v>1</v>
      </c>
      <c r="DK88" s="1"/>
      <c r="DL88" s="1"/>
      <c r="DM88" s="1">
        <v>1</v>
      </c>
      <c r="DN88" s="1"/>
      <c r="DO88" s="1"/>
      <c r="DP88" s="1"/>
      <c r="DQ88" s="1">
        <v>1</v>
      </c>
      <c r="DR88" s="1"/>
      <c r="DS88" s="1"/>
      <c r="DT88" s="7">
        <v>3</v>
      </c>
      <c r="DU88" s="7">
        <v>1</v>
      </c>
      <c r="DV88" s="7">
        <v>93100</v>
      </c>
      <c r="DW88" s="1"/>
      <c r="DX88" s="7">
        <v>800</v>
      </c>
      <c r="DY88" s="7">
        <v>1200</v>
      </c>
      <c r="DZ88" s="1"/>
      <c r="EA88" s="1"/>
      <c r="EB88" s="1"/>
      <c r="EC88" s="1" t="s">
        <v>111</v>
      </c>
      <c r="ED88" s="1" t="s">
        <v>112</v>
      </c>
      <c r="EE88" s="1">
        <v>1</v>
      </c>
      <c r="EF88" s="1">
        <v>1</v>
      </c>
      <c r="EG88" s="1" t="s">
        <v>113</v>
      </c>
      <c r="EH88" s="1" t="s">
        <v>114</v>
      </c>
      <c r="EI88" s="1" t="s">
        <v>111</v>
      </c>
      <c r="EJ88" s="1" t="s">
        <v>114</v>
      </c>
      <c r="EK88" s="1">
        <v>6</v>
      </c>
      <c r="EL88" s="1">
        <v>4</v>
      </c>
    </row>
    <row r="89" spans="1:142" x14ac:dyDescent="0.25">
      <c r="A89" s="5">
        <v>85</v>
      </c>
      <c r="B89" s="17" t="s">
        <v>282</v>
      </c>
      <c r="C89" s="1" t="s">
        <v>283</v>
      </c>
      <c r="D89" s="35">
        <v>45366</v>
      </c>
      <c r="E89" s="1">
        <v>2</v>
      </c>
      <c r="F89" s="36"/>
      <c r="G89" s="1">
        <v>1</v>
      </c>
      <c r="H89" s="1">
        <v>28</v>
      </c>
      <c r="I89" s="1">
        <v>0</v>
      </c>
      <c r="J89" s="1">
        <v>1</v>
      </c>
      <c r="K89" s="1">
        <v>13</v>
      </c>
      <c r="L89" s="1">
        <f t="shared" si="11"/>
        <v>5</v>
      </c>
      <c r="M89" s="1" t="s">
        <v>107</v>
      </c>
      <c r="N89" s="1" t="s">
        <v>177</v>
      </c>
      <c r="O89" s="1" t="s">
        <v>109</v>
      </c>
      <c r="P89" s="1" t="s">
        <v>110</v>
      </c>
      <c r="Q89" s="1" t="s">
        <v>110</v>
      </c>
      <c r="R89" s="7">
        <v>2</v>
      </c>
      <c r="S89" s="1">
        <v>6</v>
      </c>
      <c r="T89" s="1">
        <v>0.50575999999999999</v>
      </c>
      <c r="U89" s="1"/>
      <c r="V89" s="1"/>
      <c r="W89" s="1"/>
      <c r="X89" s="1"/>
      <c r="Y89" s="1"/>
      <c r="Z89" s="3"/>
      <c r="AA89" s="3"/>
      <c r="AB89" s="3"/>
      <c r="AC89" s="3"/>
      <c r="AD89" s="3"/>
      <c r="AE89" s="3">
        <v>2</v>
      </c>
      <c r="AF89" s="1"/>
      <c r="AG89" s="1"/>
      <c r="AH89" s="1"/>
      <c r="AI89" s="1"/>
      <c r="AJ89" s="1"/>
      <c r="AK89" s="1"/>
      <c r="AL89" s="1"/>
      <c r="AM89" s="1">
        <v>2</v>
      </c>
      <c r="AN89" s="7">
        <v>8</v>
      </c>
      <c r="AO89" s="7">
        <v>2</v>
      </c>
      <c r="AP89" s="7">
        <f t="shared" si="21"/>
        <v>0.2</v>
      </c>
      <c r="AQ89" s="7">
        <f t="shared" si="12"/>
        <v>0</v>
      </c>
      <c r="AR89" s="7">
        <f t="shared" si="13"/>
        <v>0</v>
      </c>
      <c r="AS89" s="7">
        <f t="shared" si="14"/>
        <v>0</v>
      </c>
      <c r="AT89" s="7">
        <f t="shared" si="15"/>
        <v>0</v>
      </c>
      <c r="AU89" s="7">
        <f t="shared" si="16"/>
        <v>0</v>
      </c>
      <c r="AV89" s="7">
        <f t="shared" si="17"/>
        <v>0</v>
      </c>
      <c r="AW89" s="7">
        <f t="shared" si="18"/>
        <v>30</v>
      </c>
      <c r="AX89" s="7">
        <f t="shared" si="19"/>
        <v>30</v>
      </c>
      <c r="AY89" s="7">
        <v>1</v>
      </c>
      <c r="AZ89" s="18">
        <v>14</v>
      </c>
      <c r="BA89" s="18">
        <v>28</v>
      </c>
      <c r="BB89" s="7">
        <v>0</v>
      </c>
      <c r="BC89" s="7">
        <v>33</v>
      </c>
      <c r="BD89" s="7">
        <f t="shared" si="20"/>
        <v>16.5</v>
      </c>
      <c r="BE89" s="5">
        <v>0</v>
      </c>
      <c r="BF89" s="1">
        <v>0</v>
      </c>
      <c r="BG89" s="7">
        <v>2980</v>
      </c>
      <c r="BH89" s="7">
        <v>15000</v>
      </c>
      <c r="BI89" s="7">
        <v>400</v>
      </c>
      <c r="BJ89" s="7">
        <v>8</v>
      </c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7">
        <v>6</v>
      </c>
      <c r="CV89" s="7">
        <v>2</v>
      </c>
      <c r="CW89" s="7">
        <v>0</v>
      </c>
      <c r="CX89" s="7">
        <v>8</v>
      </c>
      <c r="CY89" s="1">
        <v>2</v>
      </c>
      <c r="CZ89" s="1"/>
      <c r="DA89" s="7">
        <v>1</v>
      </c>
      <c r="DB89" s="1"/>
      <c r="DC89" s="1">
        <v>1</v>
      </c>
      <c r="DD89" s="1"/>
      <c r="DE89" s="1"/>
      <c r="DF89" s="1">
        <v>1</v>
      </c>
      <c r="DG89" s="1"/>
      <c r="DH89" s="1"/>
      <c r="DI89" s="1"/>
      <c r="DJ89" s="1">
        <v>1</v>
      </c>
      <c r="DK89" s="1"/>
      <c r="DL89" s="1"/>
      <c r="DM89" s="1">
        <v>1</v>
      </c>
      <c r="DN89" s="1"/>
      <c r="DO89" s="1">
        <v>1</v>
      </c>
      <c r="DP89" s="1"/>
      <c r="DQ89" s="1">
        <v>1</v>
      </c>
      <c r="DR89" s="1"/>
      <c r="DS89" s="1"/>
      <c r="DT89" s="7">
        <v>3</v>
      </c>
      <c r="DU89" s="7">
        <v>3</v>
      </c>
      <c r="DV89" s="1"/>
      <c r="DW89" s="1"/>
      <c r="DX89" s="7">
        <v>500</v>
      </c>
      <c r="DY89" s="7">
        <v>800</v>
      </c>
      <c r="DZ89" s="1"/>
      <c r="EA89" s="1"/>
      <c r="EB89" s="1"/>
      <c r="EC89" s="1" t="s">
        <v>111</v>
      </c>
      <c r="ED89" s="1" t="s">
        <v>112</v>
      </c>
      <c r="EE89" s="1">
        <v>1</v>
      </c>
      <c r="EF89" s="1">
        <v>1</v>
      </c>
      <c r="EG89" s="1" t="s">
        <v>113</v>
      </c>
      <c r="EH89" s="1" t="s">
        <v>114</v>
      </c>
      <c r="EI89" s="1" t="s">
        <v>111</v>
      </c>
      <c r="EJ89" s="1" t="s">
        <v>114</v>
      </c>
      <c r="EK89" s="1">
        <v>5</v>
      </c>
      <c r="EL89" s="1">
        <v>5</v>
      </c>
    </row>
    <row r="90" spans="1:142" x14ac:dyDescent="0.25">
      <c r="A90" s="5">
        <v>86</v>
      </c>
      <c r="B90" s="17" t="s">
        <v>270</v>
      </c>
      <c r="C90" s="1" t="s">
        <v>284</v>
      </c>
      <c r="D90" s="35">
        <v>45370</v>
      </c>
      <c r="E90" s="1">
        <v>2</v>
      </c>
      <c r="F90" s="36"/>
      <c r="G90" s="1">
        <v>1</v>
      </c>
      <c r="H90" s="1">
        <v>41</v>
      </c>
      <c r="I90" s="1">
        <v>12</v>
      </c>
      <c r="J90" s="1">
        <v>6</v>
      </c>
      <c r="K90" s="1">
        <v>7</v>
      </c>
      <c r="L90" s="1">
        <f t="shared" si="11"/>
        <v>2</v>
      </c>
      <c r="M90" s="1" t="s">
        <v>107</v>
      </c>
      <c r="N90" s="1" t="s">
        <v>120</v>
      </c>
      <c r="O90" s="1" t="s">
        <v>109</v>
      </c>
      <c r="P90" s="1" t="s">
        <v>110</v>
      </c>
      <c r="Q90" s="1" t="s">
        <v>110</v>
      </c>
      <c r="R90" s="7">
        <v>3</v>
      </c>
      <c r="S90" s="1">
        <v>7</v>
      </c>
      <c r="T90" s="1">
        <v>0.75863999999999998</v>
      </c>
      <c r="U90" s="1"/>
      <c r="V90" s="1"/>
      <c r="W90" s="1"/>
      <c r="X90" s="1"/>
      <c r="Y90" s="1"/>
      <c r="Z90" s="3">
        <v>1</v>
      </c>
      <c r="AA90" s="3"/>
      <c r="AB90" s="3">
        <v>1</v>
      </c>
      <c r="AC90" s="3">
        <v>1</v>
      </c>
      <c r="AD90" s="3"/>
      <c r="AE90" s="3">
        <v>1</v>
      </c>
      <c r="AF90" s="1"/>
      <c r="AG90" s="1">
        <v>1</v>
      </c>
      <c r="AH90" s="1"/>
      <c r="AI90" s="1"/>
      <c r="AJ90" s="1"/>
      <c r="AK90" s="1"/>
      <c r="AL90" s="1"/>
      <c r="AM90" s="1"/>
      <c r="AN90" s="7">
        <v>9</v>
      </c>
      <c r="AO90" s="7">
        <v>4</v>
      </c>
      <c r="AP90" s="7">
        <f t="shared" si="21"/>
        <v>0.19</v>
      </c>
      <c r="AQ90" s="7">
        <f t="shared" si="12"/>
        <v>15.789473684210526</v>
      </c>
      <c r="AR90" s="7">
        <f t="shared" si="13"/>
        <v>0.25</v>
      </c>
      <c r="AS90" s="7">
        <f t="shared" si="14"/>
        <v>0</v>
      </c>
      <c r="AT90" s="7">
        <f t="shared" si="15"/>
        <v>15.789473684210526</v>
      </c>
      <c r="AU90" s="7">
        <f t="shared" si="16"/>
        <v>15.789473684210526</v>
      </c>
      <c r="AV90" s="7">
        <f t="shared" si="17"/>
        <v>0</v>
      </c>
      <c r="AW90" s="7">
        <f t="shared" si="18"/>
        <v>15.789473684210526</v>
      </c>
      <c r="AX90" s="7">
        <f t="shared" si="19"/>
        <v>31.578947368421051</v>
      </c>
      <c r="AY90" s="7">
        <v>0.5</v>
      </c>
      <c r="AZ90" s="18">
        <v>10</v>
      </c>
      <c r="BA90" s="18">
        <v>40</v>
      </c>
      <c r="BB90" s="7">
        <v>0.5</v>
      </c>
      <c r="BC90" s="7">
        <v>64</v>
      </c>
      <c r="BD90" s="7">
        <f t="shared" si="20"/>
        <v>16</v>
      </c>
      <c r="BE90" s="5">
        <v>0</v>
      </c>
      <c r="BF90" s="1">
        <v>0</v>
      </c>
      <c r="BG90" s="7">
        <v>4280</v>
      </c>
      <c r="BH90" s="7">
        <v>30000</v>
      </c>
      <c r="BI90" s="7">
        <v>900</v>
      </c>
      <c r="BJ90" s="7">
        <v>18</v>
      </c>
      <c r="BK90" s="1"/>
      <c r="BL90" s="1"/>
      <c r="BM90" s="1"/>
      <c r="BN90" s="1"/>
      <c r="BO90" s="1"/>
      <c r="BP90" s="1"/>
      <c r="BQ90" s="1">
        <v>1</v>
      </c>
      <c r="BR90" s="1">
        <v>1</v>
      </c>
      <c r="BS90" s="1"/>
      <c r="BT90" s="1"/>
      <c r="BU90" s="1">
        <v>1</v>
      </c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>
        <v>1</v>
      </c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7">
        <v>6</v>
      </c>
      <c r="CV90" s="7">
        <v>2</v>
      </c>
      <c r="CW90" s="7">
        <v>0</v>
      </c>
      <c r="CX90" s="7">
        <v>8</v>
      </c>
      <c r="CY90" s="1">
        <v>4</v>
      </c>
      <c r="CZ90" s="1"/>
      <c r="DA90" s="7">
        <v>1</v>
      </c>
      <c r="DB90" s="1"/>
      <c r="DC90" s="1"/>
      <c r="DD90" s="1"/>
      <c r="DE90" s="1"/>
      <c r="DF90" s="1">
        <v>1</v>
      </c>
      <c r="DG90" s="1"/>
      <c r="DH90" s="1"/>
      <c r="DI90" s="1"/>
      <c r="DJ90" s="1">
        <v>1</v>
      </c>
      <c r="DK90" s="1"/>
      <c r="DL90" s="1"/>
      <c r="DM90" s="1">
        <v>1</v>
      </c>
      <c r="DN90" s="1"/>
      <c r="DO90" s="1"/>
      <c r="DP90" s="1"/>
      <c r="DQ90" s="1">
        <v>1</v>
      </c>
      <c r="DR90" s="1"/>
      <c r="DS90" s="1"/>
      <c r="DT90" s="7">
        <v>3</v>
      </c>
      <c r="DU90" s="7">
        <v>2</v>
      </c>
      <c r="DV90" s="1"/>
      <c r="DW90" s="1"/>
      <c r="DX90" s="7">
        <v>800</v>
      </c>
      <c r="DY90" s="7">
        <v>900</v>
      </c>
      <c r="DZ90" s="1"/>
      <c r="EA90" s="1"/>
      <c r="EB90" s="1"/>
      <c r="EC90" s="1" t="s">
        <v>111</v>
      </c>
      <c r="ED90" s="1" t="s">
        <v>112</v>
      </c>
      <c r="EE90" s="1">
        <v>1</v>
      </c>
      <c r="EF90" s="1">
        <v>1</v>
      </c>
      <c r="EG90" s="1" t="s">
        <v>113</v>
      </c>
      <c r="EH90" s="1" t="s">
        <v>114</v>
      </c>
      <c r="EI90" s="1" t="s">
        <v>111</v>
      </c>
      <c r="EJ90" s="1" t="s">
        <v>114</v>
      </c>
      <c r="EK90" s="1">
        <v>6</v>
      </c>
      <c r="EL90" s="1">
        <v>4</v>
      </c>
    </row>
    <row r="91" spans="1:142" x14ac:dyDescent="0.25">
      <c r="A91" s="5">
        <v>87</v>
      </c>
      <c r="B91" s="17" t="s">
        <v>285</v>
      </c>
      <c r="C91" s="1" t="s">
        <v>286</v>
      </c>
      <c r="D91" s="35">
        <v>45370</v>
      </c>
      <c r="E91" s="1">
        <v>2</v>
      </c>
      <c r="F91" s="36"/>
      <c r="G91" s="1">
        <v>1</v>
      </c>
      <c r="H91" s="1">
        <v>42</v>
      </c>
      <c r="I91" s="1">
        <v>15</v>
      </c>
      <c r="J91" s="1">
        <v>10</v>
      </c>
      <c r="K91" s="1">
        <v>8</v>
      </c>
      <c r="L91" s="1">
        <f t="shared" si="11"/>
        <v>2</v>
      </c>
      <c r="M91" s="1" t="s">
        <v>107</v>
      </c>
      <c r="N91" s="1" t="s">
        <v>120</v>
      </c>
      <c r="O91" s="1" t="s">
        <v>109</v>
      </c>
      <c r="P91" s="1" t="s">
        <v>110</v>
      </c>
      <c r="Q91" s="1" t="s">
        <v>110</v>
      </c>
      <c r="R91" s="7">
        <v>3</v>
      </c>
      <c r="S91" s="1">
        <v>4</v>
      </c>
      <c r="T91" s="1">
        <v>0</v>
      </c>
      <c r="U91" s="1"/>
      <c r="V91" s="1"/>
      <c r="W91" s="1"/>
      <c r="X91" s="1"/>
      <c r="Y91" s="1"/>
      <c r="Z91" s="3">
        <v>1</v>
      </c>
      <c r="AA91" s="3">
        <v>1</v>
      </c>
      <c r="AB91" s="3"/>
      <c r="AC91" s="3">
        <v>1</v>
      </c>
      <c r="AD91" s="3"/>
      <c r="AE91" s="3">
        <v>2</v>
      </c>
      <c r="AF91" s="1"/>
      <c r="AG91" s="1"/>
      <c r="AH91" s="1"/>
      <c r="AI91" s="1"/>
      <c r="AJ91" s="1"/>
      <c r="AK91" s="1"/>
      <c r="AL91" s="1"/>
      <c r="AM91" s="1"/>
      <c r="AN91" s="7">
        <v>10</v>
      </c>
      <c r="AO91" s="7">
        <v>5</v>
      </c>
      <c r="AP91" s="7">
        <f t="shared" si="21"/>
        <v>0.29000000000000004</v>
      </c>
      <c r="AQ91" s="7">
        <f t="shared" si="12"/>
        <v>20.68965517241379</v>
      </c>
      <c r="AR91" s="7">
        <f t="shared" si="13"/>
        <v>0.2</v>
      </c>
      <c r="AS91" s="7">
        <f t="shared" si="14"/>
        <v>0.2</v>
      </c>
      <c r="AT91" s="7">
        <f t="shared" si="15"/>
        <v>0</v>
      </c>
      <c r="AU91" s="7">
        <f t="shared" si="16"/>
        <v>10.344827586206895</v>
      </c>
      <c r="AV91" s="7">
        <f t="shared" si="17"/>
        <v>0</v>
      </c>
      <c r="AW91" s="7">
        <f t="shared" si="18"/>
        <v>20.68965517241379</v>
      </c>
      <c r="AX91" s="7">
        <f t="shared" si="19"/>
        <v>41.37931034482758</v>
      </c>
      <c r="AY91" s="7">
        <v>0.4</v>
      </c>
      <c r="AZ91" s="18">
        <v>9</v>
      </c>
      <c r="BA91" s="18">
        <v>45</v>
      </c>
      <c r="BB91" s="7">
        <v>1</v>
      </c>
      <c r="BC91" s="7">
        <v>64</v>
      </c>
      <c r="BD91" s="7">
        <f t="shared" si="20"/>
        <v>12.8</v>
      </c>
      <c r="BE91" s="5">
        <v>0</v>
      </c>
      <c r="BF91" s="1">
        <v>0</v>
      </c>
      <c r="BG91" s="7">
        <v>5020</v>
      </c>
      <c r="BH91" s="7">
        <v>30000</v>
      </c>
      <c r="BI91" s="7">
        <v>1100</v>
      </c>
      <c r="BJ91" s="7">
        <v>22</v>
      </c>
      <c r="BK91" s="1"/>
      <c r="BL91" s="1"/>
      <c r="BM91" s="1"/>
      <c r="BN91" s="1"/>
      <c r="BO91" s="1"/>
      <c r="BP91" s="1"/>
      <c r="BQ91" s="1">
        <v>1</v>
      </c>
      <c r="BR91" s="1"/>
      <c r="BS91" s="1"/>
      <c r="BT91" s="1">
        <v>1</v>
      </c>
      <c r="BU91" s="1">
        <v>1</v>
      </c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7">
        <v>6</v>
      </c>
      <c r="CV91" s="7">
        <v>2</v>
      </c>
      <c r="CW91" s="7">
        <v>0</v>
      </c>
      <c r="CX91" s="7">
        <v>8</v>
      </c>
      <c r="CY91" s="1">
        <v>4</v>
      </c>
      <c r="CZ91" s="1"/>
      <c r="DA91" s="7">
        <v>1</v>
      </c>
      <c r="DB91" s="1"/>
      <c r="DC91" s="1"/>
      <c r="DD91" s="1"/>
      <c r="DE91" s="1"/>
      <c r="DF91" s="1">
        <v>1</v>
      </c>
      <c r="DG91" s="1"/>
      <c r="DH91" s="1"/>
      <c r="DI91" s="1"/>
      <c r="DJ91" s="1">
        <v>1</v>
      </c>
      <c r="DK91" s="1"/>
      <c r="DL91" s="1"/>
      <c r="DM91" s="1">
        <v>1</v>
      </c>
      <c r="DN91" s="1"/>
      <c r="DO91" s="1"/>
      <c r="DP91" s="1"/>
      <c r="DQ91" s="1">
        <v>1</v>
      </c>
      <c r="DR91" s="1"/>
      <c r="DS91" s="1"/>
      <c r="DT91" s="7">
        <v>3</v>
      </c>
      <c r="DU91" s="7">
        <v>1</v>
      </c>
      <c r="DV91" s="7">
        <v>105600</v>
      </c>
      <c r="DW91" s="1"/>
      <c r="DX91" s="7">
        <v>900</v>
      </c>
      <c r="DY91" s="7">
        <v>1200</v>
      </c>
      <c r="DZ91" s="1"/>
      <c r="EA91" s="1"/>
      <c r="EB91" s="1"/>
      <c r="EC91" s="1" t="s">
        <v>111</v>
      </c>
      <c r="ED91" s="1" t="s">
        <v>112</v>
      </c>
      <c r="EE91" s="1">
        <v>1</v>
      </c>
      <c r="EF91" s="1">
        <v>1</v>
      </c>
      <c r="EG91" s="1" t="s">
        <v>113</v>
      </c>
      <c r="EH91" s="1" t="s">
        <v>114</v>
      </c>
      <c r="EI91" s="1" t="s">
        <v>111</v>
      </c>
      <c r="EJ91" s="1" t="s">
        <v>114</v>
      </c>
      <c r="EK91" s="1">
        <v>5</v>
      </c>
      <c r="EL91" s="1">
        <v>5</v>
      </c>
    </row>
    <row r="92" spans="1:142" x14ac:dyDescent="0.25">
      <c r="A92" s="5">
        <v>88</v>
      </c>
      <c r="B92" s="17" t="s">
        <v>287</v>
      </c>
      <c r="C92" s="1" t="s">
        <v>288</v>
      </c>
      <c r="D92" s="35">
        <v>45370</v>
      </c>
      <c r="E92" s="1">
        <v>2</v>
      </c>
      <c r="F92" s="36"/>
      <c r="G92" s="1">
        <v>1</v>
      </c>
      <c r="H92" s="1">
        <v>37</v>
      </c>
      <c r="I92" s="1">
        <v>1</v>
      </c>
      <c r="J92" s="1">
        <v>6</v>
      </c>
      <c r="K92" s="1">
        <v>7</v>
      </c>
      <c r="L92" s="1">
        <f t="shared" si="11"/>
        <v>2</v>
      </c>
      <c r="M92" s="1" t="s">
        <v>107</v>
      </c>
      <c r="N92" s="1" t="s">
        <v>261</v>
      </c>
      <c r="O92" s="1" t="s">
        <v>109</v>
      </c>
      <c r="P92" s="1" t="s">
        <v>110</v>
      </c>
      <c r="Q92" s="1" t="s">
        <v>110</v>
      </c>
      <c r="R92" s="7">
        <v>3</v>
      </c>
      <c r="S92" s="1">
        <v>4</v>
      </c>
      <c r="T92" s="1">
        <v>0.25287999999999999</v>
      </c>
      <c r="U92" s="1"/>
      <c r="V92" s="1"/>
      <c r="W92" s="1"/>
      <c r="X92" s="1"/>
      <c r="Y92" s="1"/>
      <c r="Z92" s="3"/>
      <c r="AA92" s="3"/>
      <c r="AB92" s="3">
        <v>2</v>
      </c>
      <c r="AC92" s="3"/>
      <c r="AD92" s="3"/>
      <c r="AE92" s="3">
        <v>2</v>
      </c>
      <c r="AF92" s="1"/>
      <c r="AG92" s="1">
        <v>1</v>
      </c>
      <c r="AH92" s="1"/>
      <c r="AI92" s="1"/>
      <c r="AJ92" s="1"/>
      <c r="AK92" s="1"/>
      <c r="AL92" s="1"/>
      <c r="AM92" s="1"/>
      <c r="AN92" s="1">
        <v>9</v>
      </c>
      <c r="AO92" s="7">
        <v>4</v>
      </c>
      <c r="AP92" s="7">
        <f t="shared" si="21"/>
        <v>0.26</v>
      </c>
      <c r="AQ92" s="7">
        <f t="shared" si="12"/>
        <v>0</v>
      </c>
      <c r="AR92" s="7">
        <f t="shared" si="13"/>
        <v>0</v>
      </c>
      <c r="AS92" s="7">
        <f t="shared" si="14"/>
        <v>0</v>
      </c>
      <c r="AT92" s="7">
        <f t="shared" si="15"/>
        <v>23.076923076923077</v>
      </c>
      <c r="AU92" s="7">
        <f t="shared" si="16"/>
        <v>0</v>
      </c>
      <c r="AV92" s="7">
        <f t="shared" si="17"/>
        <v>0</v>
      </c>
      <c r="AW92" s="7">
        <f t="shared" si="18"/>
        <v>23.076923076923077</v>
      </c>
      <c r="AX92" s="7">
        <f t="shared" si="19"/>
        <v>23.076923076923077</v>
      </c>
      <c r="AY92" s="7">
        <v>0.5</v>
      </c>
      <c r="AZ92" s="18">
        <v>12.25</v>
      </c>
      <c r="BA92" s="18">
        <v>49</v>
      </c>
      <c r="BB92" s="7">
        <v>0</v>
      </c>
      <c r="BC92" s="7">
        <v>73</v>
      </c>
      <c r="BD92" s="7">
        <f t="shared" si="20"/>
        <v>18.25</v>
      </c>
      <c r="BE92" s="5">
        <v>0</v>
      </c>
      <c r="BF92" s="1">
        <v>0</v>
      </c>
      <c r="BG92" s="7">
        <v>5390</v>
      </c>
      <c r="BH92" s="7">
        <v>15000</v>
      </c>
      <c r="BI92" s="7">
        <v>800</v>
      </c>
      <c r="BJ92" s="7">
        <v>16</v>
      </c>
      <c r="BK92" s="1"/>
      <c r="BL92" s="1"/>
      <c r="BM92" s="1"/>
      <c r="BN92" s="1"/>
      <c r="BO92" s="1"/>
      <c r="BP92" s="1"/>
      <c r="BQ92" s="1"/>
      <c r="BR92" s="1">
        <v>2</v>
      </c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7">
        <v>2</v>
      </c>
      <c r="CV92" s="7">
        <v>2</v>
      </c>
      <c r="CW92" s="7">
        <v>0</v>
      </c>
      <c r="CX92" s="7">
        <v>8</v>
      </c>
      <c r="CY92" s="1">
        <v>2</v>
      </c>
      <c r="CZ92" s="1"/>
      <c r="DA92" s="7">
        <v>1</v>
      </c>
      <c r="DB92" s="1"/>
      <c r="DC92" s="1"/>
      <c r="DD92" s="1"/>
      <c r="DE92" s="1"/>
      <c r="DF92" s="1">
        <v>1</v>
      </c>
      <c r="DG92" s="1"/>
      <c r="DH92" s="1"/>
      <c r="DI92" s="1"/>
      <c r="DJ92" s="1">
        <v>1</v>
      </c>
      <c r="DK92" s="1"/>
      <c r="DL92" s="1"/>
      <c r="DM92" s="1">
        <v>1</v>
      </c>
      <c r="DN92" s="1"/>
      <c r="DO92" s="1"/>
      <c r="DP92" s="1"/>
      <c r="DQ92" s="1">
        <v>1</v>
      </c>
      <c r="DR92" s="1"/>
      <c r="DS92" s="1"/>
      <c r="DT92" s="7">
        <v>3</v>
      </c>
      <c r="DU92" s="7">
        <v>1</v>
      </c>
      <c r="DV92" s="7">
        <v>116900</v>
      </c>
      <c r="DW92" s="1"/>
      <c r="DX92" s="7">
        <v>700</v>
      </c>
      <c r="DY92" s="7">
        <v>1400</v>
      </c>
      <c r="DZ92" s="1"/>
      <c r="EA92" s="1"/>
      <c r="EB92" s="1"/>
      <c r="EC92" s="1" t="s">
        <v>111</v>
      </c>
      <c r="ED92" s="1" t="s">
        <v>112</v>
      </c>
      <c r="EE92" s="1">
        <v>1</v>
      </c>
      <c r="EF92" s="1">
        <v>1</v>
      </c>
      <c r="EG92" s="1" t="s">
        <v>113</v>
      </c>
      <c r="EH92" s="1" t="s">
        <v>114</v>
      </c>
      <c r="EI92" s="1" t="s">
        <v>111</v>
      </c>
      <c r="EJ92" s="1" t="s">
        <v>114</v>
      </c>
      <c r="EK92" s="1">
        <v>5</v>
      </c>
      <c r="EL92" s="1">
        <v>5</v>
      </c>
    </row>
    <row r="93" spans="1:142" x14ac:dyDescent="0.25">
      <c r="A93" s="5">
        <v>89</v>
      </c>
      <c r="B93" s="17" t="s">
        <v>289</v>
      </c>
      <c r="C93" s="1" t="s">
        <v>290</v>
      </c>
      <c r="D93" s="35">
        <v>45370</v>
      </c>
      <c r="E93" s="1">
        <v>2</v>
      </c>
      <c r="F93" s="36"/>
      <c r="G93" s="1">
        <v>1</v>
      </c>
      <c r="H93" s="1">
        <v>33</v>
      </c>
      <c r="I93" s="1">
        <v>10</v>
      </c>
      <c r="J93" s="1">
        <v>8</v>
      </c>
      <c r="K93" s="1">
        <v>12</v>
      </c>
      <c r="L93" s="1">
        <f t="shared" si="11"/>
        <v>4</v>
      </c>
      <c r="M93" s="1" t="s">
        <v>107</v>
      </c>
      <c r="N93" s="1" t="s">
        <v>120</v>
      </c>
      <c r="O93" s="1" t="s">
        <v>109</v>
      </c>
      <c r="P93" s="1" t="s">
        <v>110</v>
      </c>
      <c r="Q93" s="1" t="s">
        <v>110</v>
      </c>
      <c r="R93" s="7">
        <v>1</v>
      </c>
      <c r="S93" s="1">
        <v>3</v>
      </c>
      <c r="T93" s="1">
        <v>0.25287999999999999</v>
      </c>
      <c r="U93" s="1"/>
      <c r="V93" s="1"/>
      <c r="W93" s="1"/>
      <c r="X93" s="1"/>
      <c r="Y93" s="1"/>
      <c r="Z93" s="3"/>
      <c r="AA93" s="3">
        <v>1</v>
      </c>
      <c r="AB93" s="3"/>
      <c r="AC93" s="3"/>
      <c r="AD93" s="3"/>
      <c r="AE93" s="3">
        <v>1</v>
      </c>
      <c r="AF93" s="1"/>
      <c r="AG93" s="1">
        <v>1</v>
      </c>
      <c r="AH93" s="1"/>
      <c r="AI93" s="1"/>
      <c r="AJ93" s="1"/>
      <c r="AK93" s="1"/>
      <c r="AL93" s="1"/>
      <c r="AM93" s="1"/>
      <c r="AN93" s="7">
        <v>8</v>
      </c>
      <c r="AO93" s="7">
        <v>2</v>
      </c>
      <c r="AP93" s="7">
        <f t="shared" si="21"/>
        <v>0.13</v>
      </c>
      <c r="AQ93" s="7">
        <f t="shared" si="12"/>
        <v>23.076923076923077</v>
      </c>
      <c r="AR93" s="7">
        <f t="shared" si="13"/>
        <v>0</v>
      </c>
      <c r="AS93" s="7">
        <f t="shared" si="14"/>
        <v>0.5</v>
      </c>
      <c r="AT93" s="7">
        <f t="shared" si="15"/>
        <v>0</v>
      </c>
      <c r="AU93" s="7">
        <f t="shared" si="16"/>
        <v>0</v>
      </c>
      <c r="AV93" s="7">
        <f t="shared" si="17"/>
        <v>0</v>
      </c>
      <c r="AW93" s="7">
        <f t="shared" si="18"/>
        <v>23.076923076923077</v>
      </c>
      <c r="AX93" s="7">
        <f t="shared" si="19"/>
        <v>46.153846153846153</v>
      </c>
      <c r="AY93" s="7">
        <v>0.5</v>
      </c>
      <c r="AZ93" s="18">
        <v>10</v>
      </c>
      <c r="BA93" s="18">
        <v>20</v>
      </c>
      <c r="BB93" s="7">
        <v>0.5</v>
      </c>
      <c r="BC93" s="7">
        <v>28</v>
      </c>
      <c r="BD93" s="7">
        <f t="shared" si="20"/>
        <v>14</v>
      </c>
      <c r="BE93" s="5">
        <v>0</v>
      </c>
      <c r="BF93" s="1">
        <v>0</v>
      </c>
      <c r="BG93" s="7">
        <v>1890</v>
      </c>
      <c r="BH93" s="7">
        <v>30000</v>
      </c>
      <c r="BI93" s="7">
        <v>400</v>
      </c>
      <c r="BJ93" s="7">
        <v>8</v>
      </c>
      <c r="BK93" s="1"/>
      <c r="BL93" s="1"/>
      <c r="BM93" s="1"/>
      <c r="BN93" s="1"/>
      <c r="BO93" s="1"/>
      <c r="BP93" s="1"/>
      <c r="BQ93" s="1"/>
      <c r="BR93" s="1"/>
      <c r="BS93" s="1"/>
      <c r="BT93" s="1">
        <v>1</v>
      </c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>
        <v>1</v>
      </c>
      <c r="CO93" s="1"/>
      <c r="CP93" s="1"/>
      <c r="CQ93" s="1"/>
      <c r="CR93" s="1"/>
      <c r="CS93" s="1"/>
      <c r="CT93" s="1"/>
      <c r="CU93" s="7">
        <v>2</v>
      </c>
      <c r="CV93" s="7">
        <v>2</v>
      </c>
      <c r="CW93" s="7">
        <v>0</v>
      </c>
      <c r="CX93" s="7">
        <v>8</v>
      </c>
      <c r="CY93" s="1">
        <v>4</v>
      </c>
      <c r="CZ93" s="1"/>
      <c r="DA93" s="7">
        <v>1</v>
      </c>
      <c r="DB93" s="1"/>
      <c r="DC93" s="1">
        <v>1</v>
      </c>
      <c r="DD93" s="1"/>
      <c r="DE93" s="1"/>
      <c r="DF93" s="1">
        <v>1</v>
      </c>
      <c r="DG93" s="1"/>
      <c r="DH93" s="1"/>
      <c r="DI93" s="1"/>
      <c r="DJ93" s="1">
        <v>1</v>
      </c>
      <c r="DK93" s="1"/>
      <c r="DL93" s="1"/>
      <c r="DM93" s="1">
        <v>1</v>
      </c>
      <c r="DN93" s="1"/>
      <c r="DO93" s="1">
        <v>1</v>
      </c>
      <c r="DP93" s="1"/>
      <c r="DQ93" s="1">
        <v>1</v>
      </c>
      <c r="DR93" s="1"/>
      <c r="DS93" s="1"/>
      <c r="DT93" s="7">
        <v>3</v>
      </c>
      <c r="DU93" s="7">
        <v>3</v>
      </c>
      <c r="DV93" s="1"/>
      <c r="DW93" s="1"/>
      <c r="DX93" s="7">
        <v>400</v>
      </c>
      <c r="DY93" s="7">
        <v>800</v>
      </c>
      <c r="DZ93" s="1"/>
      <c r="EA93" s="1"/>
      <c r="EB93" s="1"/>
      <c r="EC93" s="1" t="s">
        <v>111</v>
      </c>
      <c r="ED93" s="1" t="s">
        <v>112</v>
      </c>
      <c r="EE93" s="1">
        <v>1</v>
      </c>
      <c r="EF93" s="1">
        <v>1</v>
      </c>
      <c r="EG93" s="1" t="s">
        <v>113</v>
      </c>
      <c r="EH93" s="1" t="s">
        <v>114</v>
      </c>
      <c r="EI93" s="1" t="s">
        <v>111</v>
      </c>
      <c r="EJ93" s="1" t="s">
        <v>114</v>
      </c>
      <c r="EK93" s="1">
        <v>5</v>
      </c>
      <c r="EL93" s="1">
        <v>5</v>
      </c>
    </row>
    <row r="94" spans="1:142" x14ac:dyDescent="0.25">
      <c r="A94" s="5">
        <v>90</v>
      </c>
      <c r="B94" s="37" t="s">
        <v>291</v>
      </c>
      <c r="C94" s="1" t="s">
        <v>292</v>
      </c>
      <c r="D94" s="35">
        <v>45370</v>
      </c>
      <c r="E94" s="1">
        <v>4</v>
      </c>
      <c r="F94" s="36">
        <v>1</v>
      </c>
      <c r="G94" s="1">
        <v>1</v>
      </c>
      <c r="H94" s="1">
        <v>44</v>
      </c>
      <c r="I94" s="1">
        <v>12</v>
      </c>
      <c r="J94" s="1">
        <v>6</v>
      </c>
      <c r="K94" s="1">
        <v>10</v>
      </c>
      <c r="L94" s="1">
        <f t="shared" si="11"/>
        <v>3</v>
      </c>
      <c r="M94" s="1" t="s">
        <v>107</v>
      </c>
      <c r="N94" s="1" t="s">
        <v>120</v>
      </c>
      <c r="O94" s="1" t="s">
        <v>109</v>
      </c>
      <c r="P94" s="1" t="s">
        <v>110</v>
      </c>
      <c r="Q94" s="1" t="s">
        <v>110</v>
      </c>
      <c r="R94" s="7">
        <v>3</v>
      </c>
      <c r="S94" s="1">
        <v>3</v>
      </c>
      <c r="T94" s="1">
        <v>1.01152</v>
      </c>
      <c r="U94" s="1"/>
      <c r="V94" s="1"/>
      <c r="W94" s="1"/>
      <c r="X94" s="1"/>
      <c r="Y94" s="1"/>
      <c r="Z94" s="3">
        <v>1</v>
      </c>
      <c r="AA94" s="3">
        <v>1</v>
      </c>
      <c r="AB94" s="3"/>
      <c r="AC94" s="3">
        <v>1</v>
      </c>
      <c r="AD94" s="3">
        <v>2</v>
      </c>
      <c r="AE94" s="3">
        <v>6</v>
      </c>
      <c r="AF94" s="1">
        <v>1</v>
      </c>
      <c r="AG94" s="1">
        <v>2</v>
      </c>
      <c r="AH94" s="1"/>
      <c r="AI94" s="1"/>
      <c r="AJ94" s="1"/>
      <c r="AK94" s="1"/>
      <c r="AL94" s="1">
        <v>6</v>
      </c>
      <c r="AM94" s="1">
        <v>10</v>
      </c>
      <c r="AN94" s="1">
        <v>30</v>
      </c>
      <c r="AO94" s="7">
        <v>11</v>
      </c>
      <c r="AP94" s="7">
        <f t="shared" si="21"/>
        <v>0.89</v>
      </c>
      <c r="AQ94" s="7">
        <f t="shared" si="12"/>
        <v>6.7415730337078648</v>
      </c>
      <c r="AR94" s="7">
        <f t="shared" si="13"/>
        <v>9.0909090909090912E-2</v>
      </c>
      <c r="AS94" s="7">
        <f t="shared" si="14"/>
        <v>9.0909090909090912E-2</v>
      </c>
      <c r="AT94" s="7">
        <f t="shared" si="15"/>
        <v>0</v>
      </c>
      <c r="AU94" s="7">
        <f t="shared" si="16"/>
        <v>3.3707865168539324</v>
      </c>
      <c r="AV94" s="7">
        <f t="shared" si="17"/>
        <v>6.7415730337078648</v>
      </c>
      <c r="AW94" s="7">
        <f t="shared" si="18"/>
        <v>20.224719101123593</v>
      </c>
      <c r="AX94" s="7">
        <f t="shared" si="19"/>
        <v>26.966292134831459</v>
      </c>
      <c r="AY94" s="7">
        <v>0.4545454545</v>
      </c>
      <c r="AZ94" s="18">
        <v>15.363636363636363</v>
      </c>
      <c r="BA94" s="18">
        <v>169</v>
      </c>
      <c r="BB94" s="7">
        <v>0.25</v>
      </c>
      <c r="BC94" s="7">
        <v>236</v>
      </c>
      <c r="BD94" s="7">
        <f t="shared" si="20"/>
        <v>21.454545454545453</v>
      </c>
      <c r="BE94" s="5">
        <v>2</v>
      </c>
      <c r="BF94" s="1">
        <v>675</v>
      </c>
      <c r="BG94" s="7">
        <v>17160</v>
      </c>
      <c r="BH94" s="7">
        <v>30000</v>
      </c>
      <c r="BI94" s="7">
        <v>2300</v>
      </c>
      <c r="BJ94" s="7">
        <v>46</v>
      </c>
      <c r="BK94" s="1"/>
      <c r="BL94" s="1"/>
      <c r="BM94" s="1">
        <v>1</v>
      </c>
      <c r="BN94" s="1"/>
      <c r="BO94" s="1"/>
      <c r="BP94" s="1">
        <v>2</v>
      </c>
      <c r="BQ94" s="1">
        <v>1</v>
      </c>
      <c r="BR94" s="1"/>
      <c r="BS94" s="1"/>
      <c r="BT94" s="1">
        <v>1</v>
      </c>
      <c r="BU94" s="1">
        <v>1</v>
      </c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7">
        <v>2</v>
      </c>
      <c r="CV94" s="7">
        <v>2</v>
      </c>
      <c r="CW94" s="7">
        <v>0</v>
      </c>
      <c r="CX94" s="7">
        <v>8</v>
      </c>
      <c r="CY94" s="1">
        <v>4</v>
      </c>
      <c r="CZ94" s="1"/>
      <c r="DA94" s="7">
        <v>1</v>
      </c>
      <c r="DB94" s="1"/>
      <c r="DC94" s="1"/>
      <c r="DD94" s="1"/>
      <c r="DE94" s="1"/>
      <c r="DF94" s="1">
        <v>1</v>
      </c>
      <c r="DG94" s="1"/>
      <c r="DH94" s="1"/>
      <c r="DI94" s="1"/>
      <c r="DJ94" s="1">
        <v>1</v>
      </c>
      <c r="DK94" s="1"/>
      <c r="DL94" s="1"/>
      <c r="DM94" s="1">
        <v>1</v>
      </c>
      <c r="DN94" s="1"/>
      <c r="DO94" s="1"/>
      <c r="DP94" s="1"/>
      <c r="DQ94" s="1">
        <v>1</v>
      </c>
      <c r="DR94" s="1"/>
      <c r="DS94" s="1"/>
      <c r="DT94" s="7">
        <v>3</v>
      </c>
      <c r="DU94" s="7">
        <v>1</v>
      </c>
      <c r="DV94" s="7">
        <v>113900</v>
      </c>
      <c r="DW94" s="1"/>
      <c r="DX94" s="7">
        <v>1800</v>
      </c>
      <c r="DY94" s="7">
        <v>2200</v>
      </c>
      <c r="DZ94" s="1"/>
      <c r="EA94" s="1"/>
      <c r="EB94" s="1"/>
      <c r="EC94" s="1" t="s">
        <v>111</v>
      </c>
      <c r="ED94" s="1" t="s">
        <v>112</v>
      </c>
      <c r="EE94" s="1">
        <v>1</v>
      </c>
      <c r="EF94" s="1">
        <v>1</v>
      </c>
      <c r="EG94" s="1" t="s">
        <v>113</v>
      </c>
      <c r="EH94" s="1" t="s">
        <v>114</v>
      </c>
      <c r="EI94" s="1" t="s">
        <v>111</v>
      </c>
      <c r="EJ94" s="1" t="s">
        <v>114</v>
      </c>
      <c r="EK94" s="1">
        <v>6</v>
      </c>
      <c r="EL94" s="1">
        <v>4</v>
      </c>
    </row>
    <row r="95" spans="1:142" x14ac:dyDescent="0.25">
      <c r="A95" s="5">
        <v>91</v>
      </c>
      <c r="B95" s="17" t="s">
        <v>293</v>
      </c>
      <c r="C95" s="1" t="s">
        <v>294</v>
      </c>
      <c r="D95" s="35">
        <v>45370</v>
      </c>
      <c r="E95" s="1">
        <v>2</v>
      </c>
      <c r="F95" s="36"/>
      <c r="G95" s="1">
        <v>1</v>
      </c>
      <c r="H95" s="1">
        <v>36</v>
      </c>
      <c r="I95" s="1">
        <v>10</v>
      </c>
      <c r="J95" s="1">
        <v>7</v>
      </c>
      <c r="K95" s="1">
        <v>7</v>
      </c>
      <c r="L95" s="1">
        <f t="shared" si="11"/>
        <v>2</v>
      </c>
      <c r="M95" s="1" t="s">
        <v>107</v>
      </c>
      <c r="N95" s="1" t="s">
        <v>120</v>
      </c>
      <c r="O95" s="1" t="s">
        <v>141</v>
      </c>
      <c r="P95" s="1" t="s">
        <v>110</v>
      </c>
      <c r="Q95" s="1" t="s">
        <v>110</v>
      </c>
      <c r="R95" s="7">
        <v>1</v>
      </c>
      <c r="S95" s="1">
        <v>5</v>
      </c>
      <c r="T95" s="1">
        <v>0</v>
      </c>
      <c r="U95" s="1"/>
      <c r="V95" s="1"/>
      <c r="W95" s="1"/>
      <c r="X95" s="1"/>
      <c r="Y95" s="1"/>
      <c r="Z95" s="3"/>
      <c r="AA95" s="3"/>
      <c r="AB95" s="3">
        <v>1</v>
      </c>
      <c r="AC95" s="3"/>
      <c r="AD95" s="3"/>
      <c r="AE95" s="3">
        <v>2</v>
      </c>
      <c r="AF95" s="1"/>
      <c r="AG95" s="1">
        <v>1</v>
      </c>
      <c r="AH95" s="1"/>
      <c r="AI95" s="1"/>
      <c r="AJ95" s="1"/>
      <c r="AK95" s="1"/>
      <c r="AL95" s="1"/>
      <c r="AM95" s="1"/>
      <c r="AN95" s="7">
        <v>11</v>
      </c>
      <c r="AO95" s="7">
        <v>3</v>
      </c>
      <c r="AP95" s="7">
        <f t="shared" si="21"/>
        <v>0.23</v>
      </c>
      <c r="AQ95" s="7">
        <f t="shared" si="12"/>
        <v>0</v>
      </c>
      <c r="AR95" s="7">
        <f t="shared" si="13"/>
        <v>0</v>
      </c>
      <c r="AS95" s="7">
        <f t="shared" si="14"/>
        <v>0</v>
      </c>
      <c r="AT95" s="7">
        <f t="shared" si="15"/>
        <v>13.043478260869565</v>
      </c>
      <c r="AU95" s="7">
        <f t="shared" si="16"/>
        <v>0</v>
      </c>
      <c r="AV95" s="7">
        <f t="shared" si="17"/>
        <v>0</v>
      </c>
      <c r="AW95" s="7">
        <f t="shared" si="18"/>
        <v>26.086956521739129</v>
      </c>
      <c r="AX95" s="7">
        <f t="shared" si="19"/>
        <v>26.086956521739129</v>
      </c>
      <c r="AY95" s="7">
        <v>0.66666666669999997</v>
      </c>
      <c r="AZ95" s="18">
        <v>12.333333333333334</v>
      </c>
      <c r="BA95" s="18">
        <v>37</v>
      </c>
      <c r="BB95" s="7">
        <v>0</v>
      </c>
      <c r="BC95" s="7">
        <v>56</v>
      </c>
      <c r="BD95" s="7">
        <f t="shared" si="20"/>
        <v>18.666666666666668</v>
      </c>
      <c r="BE95" s="5">
        <v>0</v>
      </c>
      <c r="BF95" s="1">
        <v>0</v>
      </c>
      <c r="BG95" s="7">
        <v>3870</v>
      </c>
      <c r="BH95" s="7">
        <v>30000</v>
      </c>
      <c r="BI95" s="7">
        <v>600</v>
      </c>
      <c r="BJ95" s="7">
        <v>12</v>
      </c>
      <c r="BK95" s="1"/>
      <c r="BL95" s="1"/>
      <c r="BM95" s="1"/>
      <c r="BN95" s="1"/>
      <c r="BO95" s="1"/>
      <c r="BP95" s="1"/>
      <c r="BQ95" s="1"/>
      <c r="BR95" s="1">
        <v>1</v>
      </c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7">
        <v>2</v>
      </c>
      <c r="CV95" s="7">
        <v>2</v>
      </c>
      <c r="CW95" s="7">
        <v>0</v>
      </c>
      <c r="CX95" s="7">
        <v>8</v>
      </c>
      <c r="CY95" s="1">
        <v>4</v>
      </c>
      <c r="CZ95" s="1"/>
      <c r="DA95" s="7">
        <v>1</v>
      </c>
      <c r="DB95" s="1"/>
      <c r="DC95" s="1"/>
      <c r="DD95" s="1"/>
      <c r="DE95" s="1"/>
      <c r="DF95" s="1">
        <v>1</v>
      </c>
      <c r="DG95" s="1"/>
      <c r="DH95" s="1"/>
      <c r="DI95" s="1"/>
      <c r="DJ95" s="1">
        <v>1</v>
      </c>
      <c r="DK95" s="1"/>
      <c r="DL95" s="1"/>
      <c r="DM95" s="1">
        <v>1</v>
      </c>
      <c r="DN95" s="1"/>
      <c r="DO95" s="1"/>
      <c r="DP95" s="1"/>
      <c r="DQ95" s="1">
        <v>1</v>
      </c>
      <c r="DR95" s="1"/>
      <c r="DS95" s="1"/>
      <c r="DT95" s="7">
        <v>3</v>
      </c>
      <c r="DU95" s="7">
        <v>2</v>
      </c>
      <c r="DV95" s="1"/>
      <c r="DW95" s="1"/>
      <c r="DX95" s="7">
        <v>600</v>
      </c>
      <c r="DY95" s="7">
        <v>900</v>
      </c>
      <c r="DZ95" s="1"/>
      <c r="EA95" s="1"/>
      <c r="EB95" s="1"/>
      <c r="EC95" s="1" t="s">
        <v>111</v>
      </c>
      <c r="ED95" s="1" t="s">
        <v>112</v>
      </c>
      <c r="EE95" s="1">
        <v>1</v>
      </c>
      <c r="EF95" s="1">
        <v>1</v>
      </c>
      <c r="EG95" s="1" t="s">
        <v>113</v>
      </c>
      <c r="EH95" s="1" t="s">
        <v>114</v>
      </c>
      <c r="EI95" s="1" t="s">
        <v>111</v>
      </c>
      <c r="EJ95" s="1" t="s">
        <v>114</v>
      </c>
      <c r="EK95" s="1">
        <v>6</v>
      </c>
      <c r="EL95" s="1">
        <v>5</v>
      </c>
    </row>
    <row r="96" spans="1:142" x14ac:dyDescent="0.25">
      <c r="A96" s="5">
        <v>92</v>
      </c>
      <c r="B96" s="17" t="s">
        <v>295</v>
      </c>
      <c r="C96" s="1" t="s">
        <v>296</v>
      </c>
      <c r="D96" s="35">
        <v>45470</v>
      </c>
      <c r="E96" s="1">
        <v>2</v>
      </c>
      <c r="F96" s="36"/>
      <c r="G96" s="1">
        <v>1</v>
      </c>
      <c r="H96" s="1">
        <v>27</v>
      </c>
      <c r="I96" s="1">
        <v>1</v>
      </c>
      <c r="J96" s="1">
        <v>1</v>
      </c>
      <c r="K96" s="1">
        <v>13</v>
      </c>
      <c r="L96" s="1">
        <f t="shared" si="11"/>
        <v>5</v>
      </c>
      <c r="M96" s="1" t="s">
        <v>107</v>
      </c>
      <c r="N96" s="1" t="s">
        <v>174</v>
      </c>
      <c r="O96" s="1" t="s">
        <v>117</v>
      </c>
      <c r="P96" s="1" t="s">
        <v>110</v>
      </c>
      <c r="Q96" s="1" t="s">
        <v>110</v>
      </c>
      <c r="R96" s="7">
        <v>3</v>
      </c>
      <c r="S96" s="1">
        <v>4</v>
      </c>
      <c r="T96" s="1">
        <v>0.25287999999999999</v>
      </c>
      <c r="U96" s="1"/>
      <c r="V96" s="1"/>
      <c r="W96" s="1"/>
      <c r="X96" s="1"/>
      <c r="Y96" s="1"/>
      <c r="Z96" s="2">
        <v>1</v>
      </c>
      <c r="AA96" s="2"/>
      <c r="AB96" s="2"/>
      <c r="AC96" s="2"/>
      <c r="AD96" s="2"/>
      <c r="AE96" s="2">
        <v>2</v>
      </c>
      <c r="AF96" s="1"/>
      <c r="AG96" s="1">
        <v>1</v>
      </c>
      <c r="AH96" s="1"/>
      <c r="AI96" s="1"/>
      <c r="AJ96" s="1"/>
      <c r="AK96" s="1"/>
      <c r="AL96" s="1"/>
      <c r="AM96" s="1"/>
      <c r="AN96" s="7">
        <v>10</v>
      </c>
      <c r="AO96" s="7">
        <v>3</v>
      </c>
      <c r="AP96" s="7">
        <f t="shared" si="21"/>
        <v>0.23</v>
      </c>
      <c r="AQ96" s="7">
        <f t="shared" si="12"/>
        <v>13.043478260869565</v>
      </c>
      <c r="AR96" s="7">
        <f t="shared" si="13"/>
        <v>0.33333333333333331</v>
      </c>
      <c r="AS96" s="7">
        <f t="shared" si="14"/>
        <v>0</v>
      </c>
      <c r="AT96" s="7">
        <f t="shared" si="15"/>
        <v>0</v>
      </c>
      <c r="AU96" s="7">
        <f t="shared" si="16"/>
        <v>0</v>
      </c>
      <c r="AV96" s="7">
        <f t="shared" si="17"/>
        <v>0</v>
      </c>
      <c r="AW96" s="7">
        <f t="shared" si="18"/>
        <v>26.086956521739129</v>
      </c>
      <c r="AX96" s="7">
        <f t="shared" si="19"/>
        <v>26.086956521739129</v>
      </c>
      <c r="AY96" s="7">
        <v>0.66666666669999997</v>
      </c>
      <c r="AZ96" s="18">
        <v>21.333333333333332</v>
      </c>
      <c r="BA96" s="18">
        <v>64</v>
      </c>
      <c r="BB96" s="7">
        <v>0.25</v>
      </c>
      <c r="BC96" s="7">
        <v>84</v>
      </c>
      <c r="BD96" s="7">
        <f t="shared" si="20"/>
        <v>28</v>
      </c>
      <c r="BE96" s="5">
        <v>2</v>
      </c>
      <c r="BF96" s="1">
        <v>675</v>
      </c>
      <c r="BG96" s="7">
        <v>5250</v>
      </c>
      <c r="BH96" s="7">
        <v>15000</v>
      </c>
      <c r="BI96" s="7">
        <v>600</v>
      </c>
      <c r="BJ96" s="7">
        <v>12</v>
      </c>
      <c r="BK96" s="1"/>
      <c r="BL96" s="1"/>
      <c r="BM96" s="1"/>
      <c r="BN96" s="1"/>
      <c r="BO96" s="1"/>
      <c r="BP96" s="1">
        <v>2</v>
      </c>
      <c r="BQ96" s="1">
        <v>1</v>
      </c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>
        <v>2</v>
      </c>
      <c r="CN96" s="1"/>
      <c r="CO96" s="1"/>
      <c r="CP96" s="1"/>
      <c r="CQ96" s="1"/>
      <c r="CR96" s="1"/>
      <c r="CS96" s="1"/>
      <c r="CT96" s="1"/>
      <c r="CU96" s="7">
        <v>2</v>
      </c>
      <c r="CV96" s="7">
        <v>2</v>
      </c>
      <c r="CW96" s="7">
        <v>0</v>
      </c>
      <c r="CX96" s="7">
        <v>8</v>
      </c>
      <c r="CY96" s="1">
        <v>2</v>
      </c>
      <c r="CZ96" s="1"/>
      <c r="DA96" s="7">
        <v>1</v>
      </c>
      <c r="DB96" s="1"/>
      <c r="DC96" s="1"/>
      <c r="DD96" s="1"/>
      <c r="DE96" s="1"/>
      <c r="DF96" s="1">
        <v>1</v>
      </c>
      <c r="DG96" s="1"/>
      <c r="DH96" s="1"/>
      <c r="DI96" s="1"/>
      <c r="DJ96" s="1">
        <v>1</v>
      </c>
      <c r="DK96" s="1"/>
      <c r="DL96" s="1"/>
      <c r="DM96" s="1">
        <v>1</v>
      </c>
      <c r="DN96" s="1"/>
      <c r="DO96" s="1"/>
      <c r="DP96" s="1"/>
      <c r="DQ96" s="1">
        <v>1</v>
      </c>
      <c r="DR96" s="1"/>
      <c r="DS96" s="1"/>
      <c r="DT96" s="7">
        <v>3</v>
      </c>
      <c r="DU96" s="7">
        <v>1</v>
      </c>
      <c r="DV96" s="7">
        <v>97400</v>
      </c>
      <c r="DW96" s="1"/>
      <c r="DX96" s="7">
        <v>600</v>
      </c>
      <c r="DY96" s="7">
        <v>900</v>
      </c>
      <c r="DZ96" s="1"/>
      <c r="EA96" s="1"/>
      <c r="EB96" s="1"/>
      <c r="EC96" s="1" t="s">
        <v>111</v>
      </c>
      <c r="ED96" s="1" t="s">
        <v>112</v>
      </c>
      <c r="EE96" s="1">
        <v>1</v>
      </c>
      <c r="EF96" s="1">
        <v>1</v>
      </c>
      <c r="EG96" s="1" t="s">
        <v>113</v>
      </c>
      <c r="EH96" s="1" t="s">
        <v>114</v>
      </c>
      <c r="EI96" s="1" t="s">
        <v>111</v>
      </c>
      <c r="EJ96" s="1" t="s">
        <v>114</v>
      </c>
      <c r="EK96" s="1">
        <v>6</v>
      </c>
      <c r="EL96" s="1">
        <v>5</v>
      </c>
    </row>
    <row r="97" spans="1:142" x14ac:dyDescent="0.25">
      <c r="A97" s="5">
        <v>93</v>
      </c>
      <c r="B97" s="17" t="s">
        <v>297</v>
      </c>
      <c r="C97" s="1" t="s">
        <v>298</v>
      </c>
      <c r="D97" s="35">
        <v>45470</v>
      </c>
      <c r="E97" s="1">
        <v>2</v>
      </c>
      <c r="F97" s="36">
        <v>1</v>
      </c>
      <c r="G97" s="1">
        <v>1</v>
      </c>
      <c r="H97" s="1">
        <v>32</v>
      </c>
      <c r="I97" s="1">
        <v>10</v>
      </c>
      <c r="J97" s="1">
        <v>8</v>
      </c>
      <c r="K97" s="1">
        <v>12</v>
      </c>
      <c r="L97" s="1">
        <f t="shared" si="11"/>
        <v>4</v>
      </c>
      <c r="M97" s="1" t="s">
        <v>107</v>
      </c>
      <c r="N97" s="1" t="s">
        <v>120</v>
      </c>
      <c r="O97" s="1" t="s">
        <v>109</v>
      </c>
      <c r="P97" s="1" t="s">
        <v>110</v>
      </c>
      <c r="Q97" s="1" t="s">
        <v>110</v>
      </c>
      <c r="R97" s="7">
        <v>2</v>
      </c>
      <c r="S97" s="1">
        <v>3</v>
      </c>
      <c r="T97" s="1">
        <v>0.25287999999999999</v>
      </c>
      <c r="U97" s="1"/>
      <c r="V97" s="1"/>
      <c r="W97" s="1"/>
      <c r="X97" s="1"/>
      <c r="Y97" s="1"/>
      <c r="Z97" s="3">
        <v>1</v>
      </c>
      <c r="AA97" s="3"/>
      <c r="AB97" s="3"/>
      <c r="AC97" s="3"/>
      <c r="AD97" s="3">
        <v>1</v>
      </c>
      <c r="AE97" s="3">
        <v>2</v>
      </c>
      <c r="AF97" s="1"/>
      <c r="AG97" s="1">
        <v>1</v>
      </c>
      <c r="AH97" s="1"/>
      <c r="AI97" s="1"/>
      <c r="AJ97" s="1"/>
      <c r="AK97" s="1"/>
      <c r="AL97" s="1"/>
      <c r="AM97" s="1"/>
      <c r="AN97" s="7">
        <v>10</v>
      </c>
      <c r="AO97" s="7">
        <v>4</v>
      </c>
      <c r="AP97" s="7">
        <f t="shared" si="21"/>
        <v>0.33000000000000007</v>
      </c>
      <c r="AQ97" s="7">
        <f t="shared" si="12"/>
        <v>9.0909090909090882</v>
      </c>
      <c r="AR97" s="7">
        <f t="shared" si="13"/>
        <v>0.25</v>
      </c>
      <c r="AS97" s="7">
        <f t="shared" si="14"/>
        <v>0</v>
      </c>
      <c r="AT97" s="7">
        <f t="shared" si="15"/>
        <v>0</v>
      </c>
      <c r="AU97" s="7">
        <f t="shared" si="16"/>
        <v>0</v>
      </c>
      <c r="AV97" s="7">
        <f t="shared" si="17"/>
        <v>9.0909090909090882</v>
      </c>
      <c r="AW97" s="7">
        <f t="shared" si="18"/>
        <v>18.181818181818176</v>
      </c>
      <c r="AX97" s="7">
        <f t="shared" si="19"/>
        <v>18.181818181818176</v>
      </c>
      <c r="AY97" s="7">
        <v>0.75</v>
      </c>
      <c r="AZ97" s="18">
        <v>22.75</v>
      </c>
      <c r="BA97" s="18">
        <v>91</v>
      </c>
      <c r="BB97" s="7">
        <v>0.25</v>
      </c>
      <c r="BC97" s="7">
        <v>115</v>
      </c>
      <c r="BD97" s="7">
        <f t="shared" si="20"/>
        <v>28.75</v>
      </c>
      <c r="BE97" s="5">
        <v>2</v>
      </c>
      <c r="BF97" s="1">
        <v>700</v>
      </c>
      <c r="BG97" s="7">
        <v>7720</v>
      </c>
      <c r="BH97" s="7">
        <v>15000</v>
      </c>
      <c r="BI97" s="7">
        <v>800</v>
      </c>
      <c r="BJ97" s="7">
        <v>16</v>
      </c>
      <c r="BK97" s="1"/>
      <c r="BL97" s="1"/>
      <c r="BM97" s="1">
        <v>1</v>
      </c>
      <c r="BN97" s="1"/>
      <c r="BO97" s="1"/>
      <c r="BP97" s="1">
        <v>2</v>
      </c>
      <c r="BQ97" s="1">
        <v>1</v>
      </c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>
        <v>1</v>
      </c>
      <c r="CE97" s="1"/>
      <c r="CF97" s="1"/>
      <c r="CG97" s="1"/>
      <c r="CH97" s="1"/>
      <c r="CI97" s="1"/>
      <c r="CJ97" s="1"/>
      <c r="CK97" s="1"/>
      <c r="CL97" s="1"/>
      <c r="CM97" s="1">
        <v>2</v>
      </c>
      <c r="CN97" s="1"/>
      <c r="CO97" s="1"/>
      <c r="CP97" s="1"/>
      <c r="CQ97" s="1"/>
      <c r="CR97" s="1"/>
      <c r="CS97" s="1"/>
      <c r="CT97" s="1"/>
      <c r="CU97" s="7">
        <v>2</v>
      </c>
      <c r="CV97" s="7">
        <v>2</v>
      </c>
      <c r="CW97" s="7">
        <v>0</v>
      </c>
      <c r="CX97" s="7">
        <v>8</v>
      </c>
      <c r="CY97" s="1">
        <v>2</v>
      </c>
      <c r="CZ97" s="1"/>
      <c r="DA97" s="7">
        <v>1</v>
      </c>
      <c r="DB97" s="1"/>
      <c r="DC97" s="1"/>
      <c r="DD97" s="1"/>
      <c r="DE97" s="1"/>
      <c r="DF97" s="1">
        <v>1</v>
      </c>
      <c r="DG97" s="1"/>
      <c r="DH97" s="1"/>
      <c r="DI97" s="1"/>
      <c r="DJ97" s="1">
        <v>1</v>
      </c>
      <c r="DK97" s="1"/>
      <c r="DL97" s="1"/>
      <c r="DM97" s="1">
        <v>1</v>
      </c>
      <c r="DN97" s="1"/>
      <c r="DO97" s="1"/>
      <c r="DP97" s="1"/>
      <c r="DQ97" s="1">
        <v>1</v>
      </c>
      <c r="DR97" s="1"/>
      <c r="DS97" s="1"/>
      <c r="DT97" s="7">
        <v>3</v>
      </c>
      <c r="DU97" s="7">
        <v>3</v>
      </c>
      <c r="DV97" s="1"/>
      <c r="DW97" s="1"/>
      <c r="DX97" s="7">
        <v>600</v>
      </c>
      <c r="DY97" s="7">
        <v>1200</v>
      </c>
      <c r="DZ97" s="1"/>
      <c r="EA97" s="1"/>
      <c r="EB97" s="1"/>
      <c r="EC97" s="1" t="s">
        <v>111</v>
      </c>
      <c r="ED97" s="1" t="s">
        <v>112</v>
      </c>
      <c r="EE97" s="1">
        <v>1</v>
      </c>
      <c r="EF97" s="1">
        <v>1</v>
      </c>
      <c r="EG97" s="1" t="s">
        <v>113</v>
      </c>
      <c r="EH97" s="1" t="s">
        <v>114</v>
      </c>
      <c r="EI97" s="1" t="s">
        <v>111</v>
      </c>
      <c r="EJ97" s="1" t="s">
        <v>114</v>
      </c>
      <c r="EK97" s="1">
        <v>5</v>
      </c>
      <c r="EL97" s="1">
        <v>4</v>
      </c>
    </row>
    <row r="98" spans="1:142" x14ac:dyDescent="0.25">
      <c r="A98" s="5">
        <v>94</v>
      </c>
      <c r="B98" s="17" t="s">
        <v>299</v>
      </c>
      <c r="C98" s="1" t="s">
        <v>300</v>
      </c>
      <c r="D98" s="35">
        <v>45625</v>
      </c>
      <c r="E98" s="1">
        <v>2</v>
      </c>
      <c r="F98" s="36"/>
      <c r="G98" s="1">
        <v>1</v>
      </c>
      <c r="H98" s="1">
        <v>47</v>
      </c>
      <c r="I98" s="1">
        <v>12</v>
      </c>
      <c r="J98" s="1">
        <v>6</v>
      </c>
      <c r="K98" s="1">
        <v>10</v>
      </c>
      <c r="L98" s="1">
        <f t="shared" si="11"/>
        <v>3</v>
      </c>
      <c r="M98" s="1" t="s">
        <v>107</v>
      </c>
      <c r="N98" s="1" t="s">
        <v>120</v>
      </c>
      <c r="O98" s="1" t="s">
        <v>141</v>
      </c>
      <c r="P98" s="1" t="s">
        <v>110</v>
      </c>
      <c r="Q98" s="1" t="s">
        <v>110</v>
      </c>
      <c r="R98" s="7">
        <v>2</v>
      </c>
      <c r="S98" s="1">
        <v>3</v>
      </c>
      <c r="T98" s="1">
        <v>0</v>
      </c>
      <c r="U98" s="1"/>
      <c r="V98" s="1"/>
      <c r="W98" s="1"/>
      <c r="X98" s="1"/>
      <c r="Y98" s="1"/>
      <c r="Z98" s="3"/>
      <c r="AA98" s="3">
        <v>2</v>
      </c>
      <c r="AB98" s="3"/>
      <c r="AC98" s="3">
        <v>1</v>
      </c>
      <c r="AD98" s="3"/>
      <c r="AE98" s="3">
        <v>1</v>
      </c>
      <c r="AF98" s="1"/>
      <c r="AG98" s="1"/>
      <c r="AH98" s="1"/>
      <c r="AI98" s="1"/>
      <c r="AJ98" s="1"/>
      <c r="AK98" s="1"/>
      <c r="AL98" s="1">
        <v>2</v>
      </c>
      <c r="AM98" s="1">
        <v>2</v>
      </c>
      <c r="AN98" s="7">
        <v>12</v>
      </c>
      <c r="AO98" s="7">
        <v>4</v>
      </c>
      <c r="AP98" s="7">
        <f t="shared" si="21"/>
        <v>0.19</v>
      </c>
      <c r="AQ98" s="7">
        <f t="shared" si="12"/>
        <v>31.578947368421051</v>
      </c>
      <c r="AR98" s="7">
        <f t="shared" si="13"/>
        <v>0</v>
      </c>
      <c r="AS98" s="7">
        <f t="shared" si="14"/>
        <v>0.5</v>
      </c>
      <c r="AT98" s="7">
        <f t="shared" si="15"/>
        <v>0</v>
      </c>
      <c r="AU98" s="7">
        <f t="shared" si="16"/>
        <v>15.789473684210526</v>
      </c>
      <c r="AV98" s="7">
        <f t="shared" si="17"/>
        <v>0</v>
      </c>
      <c r="AW98" s="7">
        <f t="shared" si="18"/>
        <v>15.789473684210526</v>
      </c>
      <c r="AX98" s="7">
        <f t="shared" si="19"/>
        <v>63.157894736842103</v>
      </c>
      <c r="AY98" s="7">
        <v>0.5</v>
      </c>
      <c r="AZ98" s="18">
        <v>12.75</v>
      </c>
      <c r="BA98" s="18">
        <v>51</v>
      </c>
      <c r="BB98" s="7">
        <v>1</v>
      </c>
      <c r="BC98" s="7">
        <v>70</v>
      </c>
      <c r="BD98" s="7">
        <f t="shared" si="20"/>
        <v>17.5</v>
      </c>
      <c r="BE98" s="5">
        <v>1</v>
      </c>
      <c r="BF98" s="1">
        <v>700</v>
      </c>
      <c r="BG98" s="7">
        <v>5310</v>
      </c>
      <c r="BH98" s="7">
        <v>15000</v>
      </c>
      <c r="BI98" s="7">
        <v>800</v>
      </c>
      <c r="BJ98" s="7">
        <v>16</v>
      </c>
      <c r="BK98" s="1"/>
      <c r="BL98" s="1"/>
      <c r="BM98" s="1"/>
      <c r="BN98" s="1"/>
      <c r="BO98" s="1"/>
      <c r="BP98" s="1">
        <v>1</v>
      </c>
      <c r="BQ98" s="1"/>
      <c r="BR98" s="1"/>
      <c r="BS98" s="1"/>
      <c r="BT98" s="1">
        <v>2</v>
      </c>
      <c r="BU98" s="1">
        <v>1</v>
      </c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7">
        <v>2</v>
      </c>
      <c r="CV98" s="7">
        <v>2</v>
      </c>
      <c r="CW98" s="7">
        <v>0</v>
      </c>
      <c r="CX98" s="7">
        <v>8</v>
      </c>
      <c r="CY98" s="1">
        <v>2</v>
      </c>
      <c r="CZ98" s="1"/>
      <c r="DA98" s="7">
        <v>1</v>
      </c>
      <c r="DB98" s="1"/>
      <c r="DC98" s="1"/>
      <c r="DD98" s="1"/>
      <c r="DE98" s="1"/>
      <c r="DF98" s="1">
        <v>1</v>
      </c>
      <c r="DG98" s="1"/>
      <c r="DH98" s="1"/>
      <c r="DI98" s="1"/>
      <c r="DJ98" s="1">
        <v>1</v>
      </c>
      <c r="DK98" s="1"/>
      <c r="DL98" s="1"/>
      <c r="DM98" s="1">
        <v>1</v>
      </c>
      <c r="DN98" s="1"/>
      <c r="DO98" s="1"/>
      <c r="DP98" s="1"/>
      <c r="DQ98" s="1">
        <v>1</v>
      </c>
      <c r="DR98" s="1"/>
      <c r="DS98" s="1"/>
      <c r="DT98" s="7">
        <v>3</v>
      </c>
      <c r="DU98" s="7">
        <v>3</v>
      </c>
      <c r="DV98" s="1"/>
      <c r="DW98" s="1"/>
      <c r="DX98" s="7">
        <v>800</v>
      </c>
      <c r="DY98" s="7">
        <v>900</v>
      </c>
      <c r="DZ98" s="1"/>
      <c r="EA98" s="1"/>
      <c r="EB98" s="1"/>
      <c r="EC98" s="1" t="s">
        <v>111</v>
      </c>
      <c r="ED98" s="1" t="s">
        <v>112</v>
      </c>
      <c r="EE98" s="1">
        <v>1</v>
      </c>
      <c r="EF98" s="1">
        <v>1</v>
      </c>
      <c r="EG98" s="1" t="s">
        <v>113</v>
      </c>
      <c r="EH98" s="1" t="s">
        <v>114</v>
      </c>
      <c r="EI98" s="1" t="s">
        <v>111</v>
      </c>
      <c r="EJ98" s="1" t="s">
        <v>114</v>
      </c>
      <c r="EK98" s="1">
        <v>5</v>
      </c>
      <c r="EL98" s="1">
        <v>5</v>
      </c>
    </row>
    <row r="99" spans="1:142" x14ac:dyDescent="0.25">
      <c r="A99" s="5">
        <v>95</v>
      </c>
      <c r="B99" s="17" t="s">
        <v>301</v>
      </c>
      <c r="C99" s="1" t="s">
        <v>302</v>
      </c>
      <c r="D99" s="35">
        <v>45625</v>
      </c>
      <c r="E99" s="1">
        <v>2</v>
      </c>
      <c r="F99" s="36"/>
      <c r="G99" s="1">
        <v>1</v>
      </c>
      <c r="H99" s="1">
        <v>40</v>
      </c>
      <c r="I99" s="1">
        <v>10</v>
      </c>
      <c r="J99" s="1">
        <v>4</v>
      </c>
      <c r="K99" s="1">
        <v>10</v>
      </c>
      <c r="L99" s="1">
        <f t="shared" si="11"/>
        <v>3</v>
      </c>
      <c r="M99" s="1" t="s">
        <v>107</v>
      </c>
      <c r="N99" s="1" t="s">
        <v>120</v>
      </c>
      <c r="O99" s="1" t="s">
        <v>109</v>
      </c>
      <c r="P99" s="1" t="s">
        <v>110</v>
      </c>
      <c r="Q99" s="1" t="s">
        <v>110</v>
      </c>
      <c r="R99" s="7">
        <v>2</v>
      </c>
      <c r="S99" s="1">
        <v>5</v>
      </c>
      <c r="T99" s="1">
        <v>0</v>
      </c>
      <c r="U99" s="1"/>
      <c r="V99" s="1"/>
      <c r="W99" s="1"/>
      <c r="X99" s="1"/>
      <c r="Y99" s="1"/>
      <c r="Z99" s="3"/>
      <c r="AA99" s="3">
        <v>2</v>
      </c>
      <c r="AB99" s="3">
        <v>2</v>
      </c>
      <c r="AC99" s="3"/>
      <c r="AD99" s="3"/>
      <c r="AE99" s="3"/>
      <c r="AF99" s="1"/>
      <c r="AG99" s="1">
        <v>1</v>
      </c>
      <c r="AH99" s="1"/>
      <c r="AI99" s="1"/>
      <c r="AJ99" s="1"/>
      <c r="AK99" s="1"/>
      <c r="AL99" s="1">
        <v>2</v>
      </c>
      <c r="AM99" s="1">
        <v>2</v>
      </c>
      <c r="AN99" s="7">
        <v>7</v>
      </c>
      <c r="AO99" s="7">
        <v>4</v>
      </c>
      <c r="AP99" s="7">
        <f t="shared" si="21"/>
        <v>0.12</v>
      </c>
      <c r="AQ99" s="7">
        <f t="shared" si="12"/>
        <v>50</v>
      </c>
      <c r="AR99" s="7">
        <f t="shared" si="13"/>
        <v>0</v>
      </c>
      <c r="AS99" s="7">
        <f t="shared" si="14"/>
        <v>0.5</v>
      </c>
      <c r="AT99" s="7">
        <f t="shared" si="15"/>
        <v>50</v>
      </c>
      <c r="AU99" s="7">
        <f t="shared" si="16"/>
        <v>0</v>
      </c>
      <c r="AV99" s="7">
        <f t="shared" si="17"/>
        <v>0</v>
      </c>
      <c r="AW99" s="7">
        <f t="shared" si="18"/>
        <v>0</v>
      </c>
      <c r="AX99" s="7">
        <f t="shared" si="19"/>
        <v>50</v>
      </c>
      <c r="AY99" s="7">
        <v>0.5</v>
      </c>
      <c r="AZ99" s="18">
        <v>8</v>
      </c>
      <c r="BA99" s="18">
        <v>32</v>
      </c>
      <c r="BB99" s="7">
        <v>0</v>
      </c>
      <c r="BC99" s="7">
        <v>54</v>
      </c>
      <c r="BD99" s="7">
        <f t="shared" si="20"/>
        <v>13.5</v>
      </c>
      <c r="BE99" s="5">
        <v>0</v>
      </c>
      <c r="BF99" s="1">
        <v>0</v>
      </c>
      <c r="BG99" s="7">
        <v>3440</v>
      </c>
      <c r="BH99" s="7">
        <v>15000</v>
      </c>
      <c r="BI99" s="7">
        <v>900</v>
      </c>
      <c r="BJ99" s="7">
        <v>18</v>
      </c>
      <c r="BK99" s="1"/>
      <c r="BL99" s="1"/>
      <c r="BM99" s="1"/>
      <c r="BN99" s="1"/>
      <c r="BO99" s="1"/>
      <c r="BP99" s="1"/>
      <c r="BQ99" s="1"/>
      <c r="BR99" s="1">
        <v>2</v>
      </c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7">
        <v>2</v>
      </c>
      <c r="CV99" s="7">
        <v>2</v>
      </c>
      <c r="CW99" s="7">
        <v>0</v>
      </c>
      <c r="CX99" s="7">
        <v>8</v>
      </c>
      <c r="CY99" s="1">
        <v>2</v>
      </c>
      <c r="CZ99" s="1"/>
      <c r="DA99" s="7">
        <v>1</v>
      </c>
      <c r="DB99" s="1"/>
      <c r="DC99" s="1"/>
      <c r="DD99" s="1"/>
      <c r="DE99" s="1"/>
      <c r="DF99" s="1">
        <v>1</v>
      </c>
      <c r="DG99" s="1"/>
      <c r="DH99" s="1"/>
      <c r="DI99" s="1"/>
      <c r="DJ99" s="1">
        <v>1</v>
      </c>
      <c r="DK99" s="1"/>
      <c r="DL99" s="1"/>
      <c r="DM99" s="1">
        <v>1</v>
      </c>
      <c r="DN99" s="1"/>
      <c r="DO99" s="1"/>
      <c r="DP99" s="1"/>
      <c r="DQ99" s="1">
        <v>1</v>
      </c>
      <c r="DR99" s="1"/>
      <c r="DS99" s="1"/>
      <c r="DT99" s="7">
        <v>3</v>
      </c>
      <c r="DU99" s="7">
        <v>2</v>
      </c>
      <c r="DV99" s="1"/>
      <c r="DW99" s="1"/>
      <c r="DX99" s="7">
        <v>700</v>
      </c>
      <c r="DY99" s="7">
        <v>800</v>
      </c>
      <c r="DZ99" s="1"/>
      <c r="EA99" s="1"/>
      <c r="EB99" s="1"/>
      <c r="EC99" s="1" t="s">
        <v>111</v>
      </c>
      <c r="ED99" s="1" t="s">
        <v>112</v>
      </c>
      <c r="EE99" s="1">
        <v>1</v>
      </c>
      <c r="EF99" s="1">
        <v>1</v>
      </c>
      <c r="EG99" s="1" t="s">
        <v>113</v>
      </c>
      <c r="EH99" s="1" t="s">
        <v>114</v>
      </c>
      <c r="EI99" s="1" t="s">
        <v>111</v>
      </c>
      <c r="EJ99" s="1" t="s">
        <v>114</v>
      </c>
      <c r="EK99" s="1">
        <v>6</v>
      </c>
      <c r="EL99" s="1">
        <v>4</v>
      </c>
    </row>
    <row r="100" spans="1:142" x14ac:dyDescent="0.25">
      <c r="A100" s="5">
        <v>96</v>
      </c>
      <c r="B100" s="17" t="s">
        <v>303</v>
      </c>
      <c r="C100" s="1" t="s">
        <v>304</v>
      </c>
      <c r="D100" s="35">
        <v>45625</v>
      </c>
      <c r="E100" s="1">
        <v>2</v>
      </c>
      <c r="F100" s="36"/>
      <c r="G100" s="1">
        <v>1</v>
      </c>
      <c r="H100" s="1">
        <v>33</v>
      </c>
      <c r="I100" s="1">
        <v>16</v>
      </c>
      <c r="J100" s="1">
        <v>12</v>
      </c>
      <c r="K100" s="1">
        <v>12</v>
      </c>
      <c r="L100" s="1">
        <f t="shared" si="11"/>
        <v>4</v>
      </c>
      <c r="M100" s="1" t="s">
        <v>107</v>
      </c>
      <c r="N100" s="1" t="s">
        <v>120</v>
      </c>
      <c r="O100" s="1" t="s">
        <v>109</v>
      </c>
      <c r="P100" s="1" t="s">
        <v>110</v>
      </c>
      <c r="Q100" s="1" t="s">
        <v>110</v>
      </c>
      <c r="R100" s="7">
        <v>1</v>
      </c>
      <c r="S100" s="1">
        <v>2</v>
      </c>
      <c r="T100" s="1">
        <v>0</v>
      </c>
      <c r="U100" s="1"/>
      <c r="V100" s="1"/>
      <c r="W100" s="1"/>
      <c r="X100" s="1"/>
      <c r="Y100" s="1"/>
      <c r="Z100" s="3">
        <v>1</v>
      </c>
      <c r="AA100" s="3">
        <v>2</v>
      </c>
      <c r="AB100" s="3"/>
      <c r="AC100" s="3">
        <v>1</v>
      </c>
      <c r="AD100" s="3"/>
      <c r="AE100" s="3"/>
      <c r="AF100" s="1"/>
      <c r="AG100" s="1">
        <v>1</v>
      </c>
      <c r="AH100" s="1"/>
      <c r="AI100" s="1"/>
      <c r="AJ100" s="1"/>
      <c r="AK100" s="1"/>
      <c r="AL100" s="1">
        <v>3</v>
      </c>
      <c r="AM100" s="1"/>
      <c r="AN100" s="7">
        <v>10</v>
      </c>
      <c r="AO100" s="7">
        <v>4</v>
      </c>
      <c r="AP100" s="7">
        <f t="shared" si="21"/>
        <v>0.12</v>
      </c>
      <c r="AQ100" s="7">
        <f t="shared" si="12"/>
        <v>75</v>
      </c>
      <c r="AR100" s="7">
        <f t="shared" si="13"/>
        <v>0.25</v>
      </c>
      <c r="AS100" s="7">
        <f t="shared" si="14"/>
        <v>0.5</v>
      </c>
      <c r="AT100" s="7">
        <f t="shared" si="15"/>
        <v>0</v>
      </c>
      <c r="AU100" s="7">
        <f t="shared" si="16"/>
        <v>25</v>
      </c>
      <c r="AV100" s="7">
        <f t="shared" si="17"/>
        <v>0</v>
      </c>
      <c r="AW100" s="7">
        <f t="shared" si="18"/>
        <v>0</v>
      </c>
      <c r="AX100" s="7">
        <f t="shared" si="19"/>
        <v>75</v>
      </c>
      <c r="AY100" s="7">
        <v>0.5</v>
      </c>
      <c r="AZ100" s="18">
        <v>6.75</v>
      </c>
      <c r="BA100" s="18">
        <v>27</v>
      </c>
      <c r="BB100" s="7">
        <v>0</v>
      </c>
      <c r="BC100" s="7">
        <v>56</v>
      </c>
      <c r="BD100" s="7">
        <f t="shared" si="20"/>
        <v>14</v>
      </c>
      <c r="BE100" s="5">
        <v>0</v>
      </c>
      <c r="BF100" s="1">
        <v>0</v>
      </c>
      <c r="BG100" s="7">
        <v>2580</v>
      </c>
      <c r="BH100" s="7">
        <v>15000</v>
      </c>
      <c r="BI100" s="7">
        <v>900</v>
      </c>
      <c r="BJ100" s="7">
        <v>18</v>
      </c>
      <c r="BK100" s="1"/>
      <c r="BL100" s="1"/>
      <c r="BM100" s="1"/>
      <c r="BN100" s="1"/>
      <c r="BO100" s="1"/>
      <c r="BP100" s="1"/>
      <c r="BQ100" s="1">
        <v>1</v>
      </c>
      <c r="BR100" s="1"/>
      <c r="BS100" s="1"/>
      <c r="BT100" s="1"/>
      <c r="BU100" s="1">
        <v>1</v>
      </c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7">
        <v>2</v>
      </c>
      <c r="CV100" s="7">
        <v>2</v>
      </c>
      <c r="CW100" s="7">
        <v>0</v>
      </c>
      <c r="CX100" s="7">
        <v>8</v>
      </c>
      <c r="CY100" s="1">
        <v>2</v>
      </c>
      <c r="CZ100" s="1"/>
      <c r="DA100" s="7">
        <v>1</v>
      </c>
      <c r="DB100" s="1"/>
      <c r="DC100" s="1"/>
      <c r="DD100" s="1"/>
      <c r="DE100" s="1"/>
      <c r="DF100" s="1">
        <v>1</v>
      </c>
      <c r="DG100" s="1"/>
      <c r="DH100" s="1"/>
      <c r="DI100" s="1"/>
      <c r="DJ100" s="1">
        <v>1</v>
      </c>
      <c r="DK100" s="1"/>
      <c r="DL100" s="1"/>
      <c r="DM100" s="1">
        <v>1</v>
      </c>
      <c r="DN100" s="1"/>
      <c r="DO100" s="1"/>
      <c r="DP100" s="1"/>
      <c r="DQ100" s="1">
        <v>1</v>
      </c>
      <c r="DR100" s="1"/>
      <c r="DS100" s="1"/>
      <c r="DT100" s="7">
        <v>3</v>
      </c>
      <c r="DU100" s="7">
        <v>3</v>
      </c>
      <c r="DV100" s="1"/>
      <c r="DW100" s="1"/>
      <c r="DX100" s="7">
        <v>700</v>
      </c>
      <c r="DY100" s="7">
        <v>1200</v>
      </c>
      <c r="DZ100" s="1"/>
      <c r="EA100" s="1"/>
      <c r="EB100" s="1"/>
      <c r="EC100" s="1" t="s">
        <v>111</v>
      </c>
      <c r="ED100" s="1" t="s">
        <v>112</v>
      </c>
      <c r="EE100" s="1">
        <v>1</v>
      </c>
      <c r="EF100" s="1">
        <v>1</v>
      </c>
      <c r="EG100" s="1" t="s">
        <v>113</v>
      </c>
      <c r="EH100" s="1" t="s">
        <v>114</v>
      </c>
      <c r="EI100" s="1" t="s">
        <v>111</v>
      </c>
      <c r="EJ100" s="1" t="s">
        <v>114</v>
      </c>
      <c r="EK100" s="1">
        <v>6</v>
      </c>
      <c r="EL100" s="1">
        <v>5</v>
      </c>
    </row>
    <row r="101" spans="1:142" x14ac:dyDescent="0.25">
      <c r="A101" s="5">
        <v>97</v>
      </c>
      <c r="B101" s="17" t="s">
        <v>305</v>
      </c>
      <c r="C101" s="1" t="s">
        <v>306</v>
      </c>
      <c r="D101" s="35">
        <v>45625</v>
      </c>
      <c r="E101" s="1">
        <v>2</v>
      </c>
      <c r="F101" s="36"/>
      <c r="G101" s="1">
        <v>1</v>
      </c>
      <c r="H101" s="1">
        <v>21</v>
      </c>
      <c r="I101" s="1">
        <v>0</v>
      </c>
      <c r="J101" s="1">
        <v>1</v>
      </c>
      <c r="K101" s="1">
        <v>13</v>
      </c>
      <c r="L101" s="1">
        <f t="shared" si="11"/>
        <v>5</v>
      </c>
      <c r="M101" s="1" t="s">
        <v>107</v>
      </c>
      <c r="N101" s="1" t="s">
        <v>174</v>
      </c>
      <c r="O101" s="1" t="s">
        <v>109</v>
      </c>
      <c r="P101" s="1" t="s">
        <v>110</v>
      </c>
      <c r="Q101" s="1" t="s">
        <v>110</v>
      </c>
      <c r="R101" s="7">
        <v>1</v>
      </c>
      <c r="S101" s="1">
        <v>4</v>
      </c>
      <c r="T101" s="1">
        <v>0</v>
      </c>
      <c r="U101" s="1"/>
      <c r="V101" s="1"/>
      <c r="W101" s="1"/>
      <c r="X101" s="1"/>
      <c r="Y101" s="1"/>
      <c r="Z101" s="3"/>
      <c r="AA101" s="3">
        <v>1</v>
      </c>
      <c r="AB101" s="3"/>
      <c r="AC101" s="3">
        <v>1</v>
      </c>
      <c r="AD101" s="3">
        <v>2</v>
      </c>
      <c r="AE101" s="3">
        <v>2</v>
      </c>
      <c r="AF101" s="1"/>
      <c r="AG101" s="1"/>
      <c r="AH101" s="1"/>
      <c r="AI101" s="1"/>
      <c r="AJ101" s="1"/>
      <c r="AK101" s="1"/>
      <c r="AL101" s="1"/>
      <c r="AM101" s="1"/>
      <c r="AN101" s="7">
        <v>12</v>
      </c>
      <c r="AO101" s="7">
        <v>6</v>
      </c>
      <c r="AP101" s="7">
        <f t="shared" si="21"/>
        <v>0.46</v>
      </c>
      <c r="AQ101" s="7">
        <f t="shared" si="12"/>
        <v>6.5217391304347823</v>
      </c>
      <c r="AR101" s="7">
        <f t="shared" si="13"/>
        <v>0</v>
      </c>
      <c r="AS101" s="7">
        <f t="shared" si="14"/>
        <v>0.16666666666666666</v>
      </c>
      <c r="AT101" s="7">
        <f t="shared" si="15"/>
        <v>0</v>
      </c>
      <c r="AU101" s="7">
        <f t="shared" si="16"/>
        <v>6.5217391304347823</v>
      </c>
      <c r="AV101" s="7">
        <f t="shared" si="17"/>
        <v>13.043478260869565</v>
      </c>
      <c r="AW101" s="7">
        <f t="shared" si="18"/>
        <v>13.043478260869565</v>
      </c>
      <c r="AX101" s="7">
        <f t="shared" si="19"/>
        <v>26.086956521739129</v>
      </c>
      <c r="AY101" s="7">
        <v>0.16667000000000001</v>
      </c>
      <c r="AZ101" s="18">
        <v>21.333333333333332</v>
      </c>
      <c r="BA101" s="18">
        <v>128</v>
      </c>
      <c r="BB101" s="7">
        <v>0</v>
      </c>
      <c r="BC101" s="7">
        <v>155</v>
      </c>
      <c r="BD101" s="7">
        <f t="shared" si="20"/>
        <v>25.833333333333332</v>
      </c>
      <c r="BE101" s="5">
        <v>2</v>
      </c>
      <c r="BF101" s="1">
        <v>725</v>
      </c>
      <c r="BG101" s="7">
        <v>10860</v>
      </c>
      <c r="BH101" s="7">
        <v>15000</v>
      </c>
      <c r="BI101" s="7">
        <v>1300</v>
      </c>
      <c r="BJ101" s="7">
        <v>26</v>
      </c>
      <c r="BK101" s="1"/>
      <c r="BL101" s="1"/>
      <c r="BM101" s="1">
        <v>2</v>
      </c>
      <c r="BN101" s="1"/>
      <c r="BO101" s="1"/>
      <c r="BP101" s="1">
        <v>2</v>
      </c>
      <c r="BQ101" s="1"/>
      <c r="BR101" s="1"/>
      <c r="BS101" s="1"/>
      <c r="BT101" s="1"/>
      <c r="BU101" s="1">
        <v>1</v>
      </c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>
        <v>1</v>
      </c>
      <c r="CM101" s="1"/>
      <c r="CN101" s="1"/>
      <c r="CO101" s="1"/>
      <c r="CP101" s="1"/>
      <c r="CQ101" s="1"/>
      <c r="CR101" s="1"/>
      <c r="CS101" s="1"/>
      <c r="CT101" s="1"/>
      <c r="CU101" s="7">
        <v>2</v>
      </c>
      <c r="CV101" s="7">
        <v>2</v>
      </c>
      <c r="CW101" s="7">
        <v>0</v>
      </c>
      <c r="CX101" s="7">
        <v>8</v>
      </c>
      <c r="CY101" s="1">
        <v>2</v>
      </c>
      <c r="CZ101" s="1"/>
      <c r="DA101" s="7">
        <v>1</v>
      </c>
      <c r="DB101" s="1"/>
      <c r="DC101" s="1"/>
      <c r="DD101" s="1"/>
      <c r="DE101" s="1"/>
      <c r="DF101" s="1">
        <v>1</v>
      </c>
      <c r="DG101" s="1"/>
      <c r="DH101" s="1"/>
      <c r="DI101" s="1"/>
      <c r="DJ101" s="1">
        <v>1</v>
      </c>
      <c r="DK101" s="1"/>
      <c r="DL101" s="1"/>
      <c r="DM101" s="1">
        <v>1</v>
      </c>
      <c r="DN101" s="1"/>
      <c r="DO101" s="1"/>
      <c r="DP101" s="1"/>
      <c r="DQ101" s="1">
        <v>1</v>
      </c>
      <c r="DR101" s="1"/>
      <c r="DS101" s="1"/>
      <c r="DT101" s="7">
        <v>3</v>
      </c>
      <c r="DU101" s="7">
        <v>1</v>
      </c>
      <c r="DV101" s="7">
        <v>103800</v>
      </c>
      <c r="DW101" s="1"/>
      <c r="DX101" s="7">
        <v>900</v>
      </c>
      <c r="DY101" s="7">
        <v>1400</v>
      </c>
      <c r="DZ101" s="1"/>
      <c r="EA101" s="1"/>
      <c r="EB101" s="1"/>
      <c r="EC101" s="1" t="s">
        <v>111</v>
      </c>
      <c r="ED101" s="1" t="s">
        <v>112</v>
      </c>
      <c r="EE101" s="1">
        <v>1</v>
      </c>
      <c r="EF101" s="1">
        <v>1</v>
      </c>
      <c r="EG101" s="1" t="s">
        <v>113</v>
      </c>
      <c r="EH101" s="1" t="s">
        <v>114</v>
      </c>
      <c r="EI101" s="1" t="s">
        <v>111</v>
      </c>
      <c r="EJ101" s="1" t="s">
        <v>114</v>
      </c>
      <c r="EK101" s="1">
        <v>5</v>
      </c>
      <c r="EL101" s="1">
        <v>5</v>
      </c>
    </row>
    <row r="102" spans="1:142" x14ac:dyDescent="0.25">
      <c r="A102" s="5">
        <v>98</v>
      </c>
      <c r="B102" s="17" t="s">
        <v>307</v>
      </c>
      <c r="C102" s="1" t="s">
        <v>265</v>
      </c>
      <c r="D102" s="35">
        <v>45625</v>
      </c>
      <c r="E102" s="1">
        <v>2</v>
      </c>
      <c r="F102" s="36"/>
      <c r="G102" s="1">
        <v>1</v>
      </c>
      <c r="H102" s="1">
        <v>31</v>
      </c>
      <c r="I102" s="1">
        <v>0</v>
      </c>
      <c r="J102" s="1">
        <v>1</v>
      </c>
      <c r="K102" s="1">
        <v>0</v>
      </c>
      <c r="L102" s="1">
        <f t="shared" si="11"/>
        <v>0</v>
      </c>
      <c r="M102" s="1" t="s">
        <v>107</v>
      </c>
      <c r="N102" s="1" t="s">
        <v>308</v>
      </c>
      <c r="O102" s="1" t="s">
        <v>109</v>
      </c>
      <c r="P102" s="1" t="s">
        <v>110</v>
      </c>
      <c r="Q102" s="1" t="s">
        <v>110</v>
      </c>
      <c r="R102" s="7">
        <v>2</v>
      </c>
      <c r="S102" s="1">
        <v>8</v>
      </c>
      <c r="T102" s="1">
        <v>0</v>
      </c>
      <c r="U102" s="1"/>
      <c r="V102" s="1"/>
      <c r="W102" s="1"/>
      <c r="X102" s="1"/>
      <c r="Y102" s="1"/>
      <c r="Z102" s="3"/>
      <c r="AA102" s="3">
        <v>2</v>
      </c>
      <c r="AB102" s="3"/>
      <c r="AC102" s="3"/>
      <c r="AD102" s="3"/>
      <c r="AE102" s="3">
        <v>1</v>
      </c>
      <c r="AF102" s="1"/>
      <c r="AG102" s="1">
        <v>1</v>
      </c>
      <c r="AH102" s="1"/>
      <c r="AI102" s="1"/>
      <c r="AJ102" s="1"/>
      <c r="AK102" s="1"/>
      <c r="AL102" s="1">
        <v>1</v>
      </c>
      <c r="AM102" s="1">
        <v>3</v>
      </c>
      <c r="AN102" s="7">
        <v>10</v>
      </c>
      <c r="AO102" s="7">
        <v>3</v>
      </c>
      <c r="AP102" s="7">
        <f t="shared" si="21"/>
        <v>0.16</v>
      </c>
      <c r="AQ102" s="7">
        <f t="shared" si="12"/>
        <v>37.5</v>
      </c>
      <c r="AR102" s="7">
        <f t="shared" si="13"/>
        <v>0</v>
      </c>
      <c r="AS102" s="7">
        <f t="shared" si="14"/>
        <v>0.66666666666666663</v>
      </c>
      <c r="AT102" s="7">
        <f t="shared" si="15"/>
        <v>0</v>
      </c>
      <c r="AU102" s="7">
        <f t="shared" si="16"/>
        <v>0</v>
      </c>
      <c r="AV102" s="7">
        <f t="shared" si="17"/>
        <v>0</v>
      </c>
      <c r="AW102" s="7">
        <f t="shared" si="18"/>
        <v>18.75</v>
      </c>
      <c r="AX102" s="7">
        <f t="shared" si="19"/>
        <v>56.25</v>
      </c>
      <c r="AY102" s="7">
        <v>0.66666666669999997</v>
      </c>
      <c r="AZ102" s="18">
        <v>12</v>
      </c>
      <c r="BA102" s="18">
        <v>36</v>
      </c>
      <c r="BB102" s="7">
        <v>0</v>
      </c>
      <c r="BC102" s="7">
        <v>51</v>
      </c>
      <c r="BD102" s="7">
        <f t="shared" si="20"/>
        <v>17</v>
      </c>
      <c r="BE102" s="5">
        <v>1</v>
      </c>
      <c r="BF102" s="1">
        <v>550</v>
      </c>
      <c r="BG102" s="7">
        <v>3410</v>
      </c>
      <c r="BH102" s="7">
        <v>30000</v>
      </c>
      <c r="BI102" s="7">
        <v>600</v>
      </c>
      <c r="BJ102" s="7">
        <v>12</v>
      </c>
      <c r="BK102" s="1"/>
      <c r="BL102" s="1"/>
      <c r="BM102" s="1"/>
      <c r="BN102" s="1"/>
      <c r="BO102" s="1"/>
      <c r="BP102" s="1">
        <v>1</v>
      </c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7">
        <v>2</v>
      </c>
      <c r="CV102" s="7">
        <v>2</v>
      </c>
      <c r="CW102" s="7">
        <v>0</v>
      </c>
      <c r="CX102" s="7">
        <v>8</v>
      </c>
      <c r="CY102" s="1">
        <v>4</v>
      </c>
      <c r="CZ102" s="1"/>
      <c r="DA102" s="7">
        <v>1</v>
      </c>
      <c r="DB102" s="1"/>
      <c r="DC102" s="1"/>
      <c r="DD102" s="1"/>
      <c r="DE102" s="1"/>
      <c r="DF102" s="1">
        <v>1</v>
      </c>
      <c r="DG102" s="1"/>
      <c r="DH102" s="1"/>
      <c r="DI102" s="1"/>
      <c r="DJ102" s="1">
        <v>1</v>
      </c>
      <c r="DK102" s="1"/>
      <c r="DL102" s="1"/>
      <c r="DM102" s="1">
        <v>1</v>
      </c>
      <c r="DN102" s="1"/>
      <c r="DO102" s="1"/>
      <c r="DP102" s="1"/>
      <c r="DQ102" s="1">
        <v>1</v>
      </c>
      <c r="DR102" s="1"/>
      <c r="DS102" s="1"/>
      <c r="DT102" s="7">
        <v>3</v>
      </c>
      <c r="DU102" s="7">
        <v>1</v>
      </c>
      <c r="DV102" s="7">
        <v>99600</v>
      </c>
      <c r="DW102" s="1"/>
      <c r="DX102" s="7">
        <v>600</v>
      </c>
      <c r="DY102" s="7">
        <v>1100</v>
      </c>
      <c r="DZ102" s="1"/>
      <c r="EA102" s="1"/>
      <c r="EB102" s="1"/>
      <c r="EC102" s="1" t="s">
        <v>111</v>
      </c>
      <c r="ED102" s="1" t="s">
        <v>112</v>
      </c>
      <c r="EE102" s="1">
        <v>1</v>
      </c>
      <c r="EF102" s="1">
        <v>1</v>
      </c>
      <c r="EG102" s="1" t="s">
        <v>113</v>
      </c>
      <c r="EH102" s="1" t="s">
        <v>114</v>
      </c>
      <c r="EI102" s="1" t="s">
        <v>111</v>
      </c>
      <c r="EJ102" s="1" t="s">
        <v>114</v>
      </c>
      <c r="EK102" s="1">
        <v>6</v>
      </c>
      <c r="EL102" s="1">
        <v>4</v>
      </c>
    </row>
    <row r="103" spans="1:142" x14ac:dyDescent="0.25">
      <c r="A103" s="5">
        <v>99</v>
      </c>
      <c r="B103" s="17" t="s">
        <v>118</v>
      </c>
      <c r="C103" s="1" t="s">
        <v>126</v>
      </c>
      <c r="D103" s="35">
        <v>45625</v>
      </c>
      <c r="E103" s="1">
        <v>2</v>
      </c>
      <c r="F103" s="36"/>
      <c r="G103" s="1">
        <v>1</v>
      </c>
      <c r="H103" s="1">
        <v>48</v>
      </c>
      <c r="I103" s="1">
        <v>12</v>
      </c>
      <c r="J103" s="1">
        <v>6</v>
      </c>
      <c r="K103" s="1">
        <v>0</v>
      </c>
      <c r="L103" s="1">
        <f t="shared" si="11"/>
        <v>0</v>
      </c>
      <c r="M103" s="1" t="s">
        <v>107</v>
      </c>
      <c r="N103" s="1" t="s">
        <v>120</v>
      </c>
      <c r="O103" s="1" t="s">
        <v>141</v>
      </c>
      <c r="P103" s="1" t="s">
        <v>110</v>
      </c>
      <c r="Q103" s="1" t="s">
        <v>110</v>
      </c>
      <c r="R103" s="7">
        <v>2</v>
      </c>
      <c r="S103" s="1">
        <v>5</v>
      </c>
      <c r="T103" s="1">
        <v>0</v>
      </c>
      <c r="U103" s="1">
        <v>1</v>
      </c>
      <c r="V103" s="1">
        <v>1</v>
      </c>
      <c r="W103" s="1"/>
      <c r="X103" s="1"/>
      <c r="Y103" s="1"/>
      <c r="Z103" s="3"/>
      <c r="AA103" s="3">
        <v>2</v>
      </c>
      <c r="AB103" s="3"/>
      <c r="AC103" s="3">
        <v>1</v>
      </c>
      <c r="AD103" s="3"/>
      <c r="AE103" s="3"/>
      <c r="AF103" s="1"/>
      <c r="AG103" s="1">
        <v>1</v>
      </c>
      <c r="AH103" s="1"/>
      <c r="AI103" s="1"/>
      <c r="AJ103" s="1"/>
      <c r="AK103" s="1"/>
      <c r="AL103" s="1"/>
      <c r="AM103" s="1"/>
      <c r="AN103" s="7">
        <v>13</v>
      </c>
      <c r="AO103" s="7">
        <v>3</v>
      </c>
      <c r="AP103" s="7">
        <f t="shared" si="21"/>
        <v>0.09</v>
      </c>
      <c r="AQ103" s="7">
        <f t="shared" si="12"/>
        <v>66.666666666666657</v>
      </c>
      <c r="AR103" s="7">
        <f t="shared" si="13"/>
        <v>0</v>
      </c>
      <c r="AS103" s="7">
        <f t="shared" si="14"/>
        <v>0.66666666666666663</v>
      </c>
      <c r="AT103" s="7">
        <f t="shared" si="15"/>
        <v>0</v>
      </c>
      <c r="AU103" s="7">
        <f t="shared" si="16"/>
        <v>33.333333333333329</v>
      </c>
      <c r="AV103" s="7">
        <f t="shared" si="17"/>
        <v>0</v>
      </c>
      <c r="AW103" s="7">
        <f t="shared" si="18"/>
        <v>0</v>
      </c>
      <c r="AX103" s="7">
        <f t="shared" si="19"/>
        <v>100</v>
      </c>
      <c r="AY103" s="7">
        <v>0.66666666669999997</v>
      </c>
      <c r="AZ103" s="18">
        <v>7.666666666666667</v>
      </c>
      <c r="BA103" s="18">
        <v>23</v>
      </c>
      <c r="BB103" s="7">
        <v>0</v>
      </c>
      <c r="BC103" s="7">
        <v>45</v>
      </c>
      <c r="BD103" s="7">
        <f t="shared" si="20"/>
        <v>15</v>
      </c>
      <c r="BE103" s="5">
        <v>0</v>
      </c>
      <c r="BF103" s="1">
        <v>0</v>
      </c>
      <c r="BG103" s="7">
        <v>3310</v>
      </c>
      <c r="BH103" s="7">
        <v>15000</v>
      </c>
      <c r="BI103" s="7">
        <v>600</v>
      </c>
      <c r="BJ103" s="7">
        <v>12</v>
      </c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>
        <v>1</v>
      </c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7">
        <v>2</v>
      </c>
      <c r="CV103" s="7">
        <v>2</v>
      </c>
      <c r="CW103" s="7">
        <v>0</v>
      </c>
      <c r="CX103" s="7">
        <v>8</v>
      </c>
      <c r="CY103" s="1">
        <v>2</v>
      </c>
      <c r="CZ103" s="1"/>
      <c r="DA103" s="7">
        <v>1</v>
      </c>
      <c r="DB103" s="1"/>
      <c r="DC103" s="1"/>
      <c r="DD103" s="1"/>
      <c r="DE103" s="1"/>
      <c r="DF103" s="1">
        <v>1</v>
      </c>
      <c r="DG103" s="1"/>
      <c r="DH103" s="1"/>
      <c r="DI103" s="1"/>
      <c r="DJ103" s="1">
        <v>1</v>
      </c>
      <c r="DK103" s="1"/>
      <c r="DL103" s="1"/>
      <c r="DM103" s="1">
        <v>1</v>
      </c>
      <c r="DN103" s="1"/>
      <c r="DO103" s="1"/>
      <c r="DP103" s="1"/>
      <c r="DQ103" s="1">
        <v>1</v>
      </c>
      <c r="DR103" s="1"/>
      <c r="DS103" s="1"/>
      <c r="DT103" s="7">
        <v>3</v>
      </c>
      <c r="DU103" s="7">
        <v>2</v>
      </c>
      <c r="DV103" s="1"/>
      <c r="DW103" s="1"/>
      <c r="DX103" s="7">
        <v>600</v>
      </c>
      <c r="DY103" s="7">
        <v>700</v>
      </c>
      <c r="DZ103" s="1"/>
      <c r="EA103" s="1"/>
      <c r="EB103" s="1"/>
      <c r="EC103" s="1" t="s">
        <v>111</v>
      </c>
      <c r="ED103" s="1" t="s">
        <v>112</v>
      </c>
      <c r="EE103" s="1">
        <v>1</v>
      </c>
      <c r="EF103" s="1">
        <v>1</v>
      </c>
      <c r="EG103" s="1" t="s">
        <v>113</v>
      </c>
      <c r="EH103" s="1" t="s">
        <v>114</v>
      </c>
      <c r="EI103" s="1" t="s">
        <v>111</v>
      </c>
      <c r="EJ103" s="1" t="s">
        <v>114</v>
      </c>
      <c r="EK103" s="1">
        <v>6</v>
      </c>
      <c r="EL103" s="1">
        <v>5</v>
      </c>
    </row>
    <row r="104" spans="1:142" x14ac:dyDescent="0.25">
      <c r="A104" s="5">
        <v>100</v>
      </c>
      <c r="B104" s="17" t="s">
        <v>309</v>
      </c>
      <c r="C104" s="1" t="s">
        <v>310</v>
      </c>
      <c r="D104" s="35">
        <v>45625</v>
      </c>
      <c r="E104" s="1">
        <v>2</v>
      </c>
      <c r="F104" s="36"/>
      <c r="G104" s="1">
        <v>1</v>
      </c>
      <c r="H104" s="1">
        <v>45</v>
      </c>
      <c r="I104" s="1">
        <v>10</v>
      </c>
      <c r="J104" s="1">
        <v>7</v>
      </c>
      <c r="K104" s="1">
        <v>0</v>
      </c>
      <c r="L104" s="1">
        <f t="shared" si="11"/>
        <v>0</v>
      </c>
      <c r="M104" s="1" t="s">
        <v>107</v>
      </c>
      <c r="N104" s="1" t="s">
        <v>120</v>
      </c>
      <c r="O104" s="1" t="s">
        <v>109</v>
      </c>
      <c r="P104" s="1" t="s">
        <v>110</v>
      </c>
      <c r="Q104" s="1" t="s">
        <v>110</v>
      </c>
      <c r="R104" s="7">
        <v>3</v>
      </c>
      <c r="S104" s="1">
        <v>5</v>
      </c>
      <c r="T104" s="1">
        <v>0</v>
      </c>
      <c r="U104" s="1"/>
      <c r="V104" s="1"/>
      <c r="W104" s="1"/>
      <c r="X104" s="1"/>
      <c r="Y104" s="1"/>
      <c r="Z104" s="3"/>
      <c r="AA104" s="3">
        <v>2</v>
      </c>
      <c r="AB104" s="3"/>
      <c r="AC104" s="3"/>
      <c r="AD104" s="3"/>
      <c r="AE104" s="3"/>
      <c r="AF104" s="1"/>
      <c r="AG104" s="1">
        <v>1</v>
      </c>
      <c r="AH104" s="1"/>
      <c r="AI104" s="1"/>
      <c r="AJ104" s="1"/>
      <c r="AK104" s="1"/>
      <c r="AL104" s="1"/>
      <c r="AM104" s="1"/>
      <c r="AN104" s="7">
        <v>8</v>
      </c>
      <c r="AO104" s="7">
        <v>2</v>
      </c>
      <c r="AP104" s="7">
        <f t="shared" si="21"/>
        <v>0.06</v>
      </c>
      <c r="AQ104" s="7">
        <f t="shared" si="12"/>
        <v>100</v>
      </c>
      <c r="AR104" s="7">
        <f t="shared" si="13"/>
        <v>0</v>
      </c>
      <c r="AS104" s="7">
        <f t="shared" si="14"/>
        <v>1</v>
      </c>
      <c r="AT104" s="7">
        <f t="shared" si="15"/>
        <v>0</v>
      </c>
      <c r="AU104" s="7">
        <f t="shared" si="16"/>
        <v>0</v>
      </c>
      <c r="AV104" s="7">
        <f t="shared" si="17"/>
        <v>0</v>
      </c>
      <c r="AW104" s="7">
        <f t="shared" si="18"/>
        <v>0</v>
      </c>
      <c r="AX104" s="7">
        <f t="shared" si="19"/>
        <v>100</v>
      </c>
      <c r="AY104" s="7">
        <v>1</v>
      </c>
      <c r="AZ104" s="18">
        <v>6</v>
      </c>
      <c r="BA104" s="18">
        <v>12</v>
      </c>
      <c r="BB104" s="7">
        <v>0</v>
      </c>
      <c r="BC104" s="7">
        <v>22</v>
      </c>
      <c r="BD104" s="7">
        <f t="shared" si="20"/>
        <v>11</v>
      </c>
      <c r="BE104" s="5">
        <v>0</v>
      </c>
      <c r="BF104" s="1">
        <v>0</v>
      </c>
      <c r="BG104" s="7">
        <v>1260</v>
      </c>
      <c r="BH104" s="7">
        <v>15000</v>
      </c>
      <c r="BI104" s="7">
        <v>400</v>
      </c>
      <c r="BJ104" s="7">
        <v>8</v>
      </c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7">
        <v>2</v>
      </c>
      <c r="CV104" s="7">
        <v>2</v>
      </c>
      <c r="CW104" s="7">
        <v>0</v>
      </c>
      <c r="CX104" s="7">
        <v>8</v>
      </c>
      <c r="CY104" s="1">
        <v>2</v>
      </c>
      <c r="CZ104" s="1"/>
      <c r="DA104" s="7">
        <v>1</v>
      </c>
      <c r="DB104" s="1"/>
      <c r="DC104" s="1"/>
      <c r="DD104" s="1"/>
      <c r="DE104" s="1"/>
      <c r="DF104" s="1">
        <v>1</v>
      </c>
      <c r="DG104" s="1"/>
      <c r="DH104" s="1"/>
      <c r="DI104" s="1"/>
      <c r="DJ104" s="1">
        <v>1</v>
      </c>
      <c r="DK104" s="1"/>
      <c r="DL104" s="1"/>
      <c r="DM104" s="1">
        <v>1</v>
      </c>
      <c r="DN104" s="1"/>
      <c r="DO104" s="1"/>
      <c r="DP104" s="1"/>
      <c r="DQ104" s="1">
        <v>1</v>
      </c>
      <c r="DR104" s="1"/>
      <c r="DS104" s="1"/>
      <c r="DT104" s="7">
        <v>3</v>
      </c>
      <c r="DU104" s="7">
        <v>2</v>
      </c>
      <c r="DV104" s="1"/>
      <c r="DW104" s="1"/>
      <c r="DX104" s="7">
        <v>400</v>
      </c>
      <c r="DY104" s="7">
        <v>700</v>
      </c>
      <c r="DZ104" s="1"/>
      <c r="EA104" s="1"/>
      <c r="EB104" s="1"/>
      <c r="EC104" s="1" t="s">
        <v>111</v>
      </c>
      <c r="ED104" s="1" t="s">
        <v>112</v>
      </c>
      <c r="EE104" s="1">
        <v>1</v>
      </c>
      <c r="EF104" s="1">
        <v>1</v>
      </c>
      <c r="EG104" s="1" t="s">
        <v>113</v>
      </c>
      <c r="EH104" s="1" t="s">
        <v>114</v>
      </c>
      <c r="EI104" s="1" t="s">
        <v>111</v>
      </c>
      <c r="EJ104" s="1" t="s">
        <v>114</v>
      </c>
      <c r="EK104" s="1">
        <v>6</v>
      </c>
      <c r="EL104" s="1">
        <v>4</v>
      </c>
    </row>
    <row r="105" spans="1:142" x14ac:dyDescent="0.25">
      <c r="A105" s="5">
        <v>101</v>
      </c>
      <c r="B105" s="17" t="s">
        <v>303</v>
      </c>
      <c r="C105" s="1" t="s">
        <v>311</v>
      </c>
      <c r="D105" s="35">
        <v>45625</v>
      </c>
      <c r="E105" s="1">
        <v>2</v>
      </c>
      <c r="F105" s="36"/>
      <c r="G105" s="1">
        <v>1</v>
      </c>
      <c r="H105" s="1">
        <v>53</v>
      </c>
      <c r="I105" s="1">
        <v>15</v>
      </c>
      <c r="J105" s="1">
        <v>10</v>
      </c>
      <c r="K105" s="1">
        <v>0</v>
      </c>
      <c r="L105" s="1">
        <f t="shared" si="11"/>
        <v>0</v>
      </c>
      <c r="M105" s="1" t="s">
        <v>107</v>
      </c>
      <c r="N105" s="1" t="s">
        <v>120</v>
      </c>
      <c r="O105" s="1" t="s">
        <v>109</v>
      </c>
      <c r="P105" s="1" t="s">
        <v>110</v>
      </c>
      <c r="Q105" s="1" t="s">
        <v>110</v>
      </c>
      <c r="R105" s="7">
        <v>2</v>
      </c>
      <c r="S105" s="1">
        <v>6</v>
      </c>
      <c r="T105" s="1">
        <v>0</v>
      </c>
      <c r="U105" s="1"/>
      <c r="V105" s="1"/>
      <c r="W105" s="1"/>
      <c r="X105" s="1"/>
      <c r="Y105" s="1"/>
      <c r="Z105" s="3"/>
      <c r="AA105" s="3">
        <v>2</v>
      </c>
      <c r="AB105" s="3">
        <v>1</v>
      </c>
      <c r="AC105" s="3"/>
      <c r="AD105" s="3"/>
      <c r="AE105" s="3">
        <v>1</v>
      </c>
      <c r="AF105" s="1"/>
      <c r="AG105" s="1">
        <v>1</v>
      </c>
      <c r="AH105" s="1"/>
      <c r="AI105" s="1"/>
      <c r="AJ105" s="1"/>
      <c r="AK105" s="1"/>
      <c r="AL105" s="1"/>
      <c r="AM105" s="1"/>
      <c r="AN105" s="7">
        <v>11</v>
      </c>
      <c r="AO105" s="7">
        <v>4</v>
      </c>
      <c r="AP105" s="7">
        <f t="shared" si="21"/>
        <v>0.19</v>
      </c>
      <c r="AQ105" s="7">
        <f t="shared" si="12"/>
        <v>31.578947368421051</v>
      </c>
      <c r="AR105" s="7">
        <f t="shared" si="13"/>
        <v>0</v>
      </c>
      <c r="AS105" s="7">
        <f t="shared" si="14"/>
        <v>0.5</v>
      </c>
      <c r="AT105" s="7">
        <f t="shared" si="15"/>
        <v>15.789473684210526</v>
      </c>
      <c r="AU105" s="7">
        <f t="shared" si="16"/>
        <v>0</v>
      </c>
      <c r="AV105" s="7">
        <f t="shared" si="17"/>
        <v>0</v>
      </c>
      <c r="AW105" s="7">
        <f t="shared" si="18"/>
        <v>15.789473684210526</v>
      </c>
      <c r="AX105" s="7">
        <f t="shared" si="19"/>
        <v>47.368421052631575</v>
      </c>
      <c r="AY105" s="7">
        <v>0.5</v>
      </c>
      <c r="AZ105" s="18">
        <v>14.25</v>
      </c>
      <c r="BA105" s="18">
        <v>57</v>
      </c>
      <c r="BB105" s="7">
        <v>0</v>
      </c>
      <c r="BC105" s="7">
        <v>79</v>
      </c>
      <c r="BD105" s="7">
        <f t="shared" si="20"/>
        <v>19.75</v>
      </c>
      <c r="BE105" s="5">
        <v>1</v>
      </c>
      <c r="BF105" s="1">
        <v>700</v>
      </c>
      <c r="BG105" s="7">
        <v>5440</v>
      </c>
      <c r="BH105" s="7">
        <v>15000</v>
      </c>
      <c r="BI105" s="7">
        <v>800</v>
      </c>
      <c r="BJ105" s="7">
        <v>16</v>
      </c>
      <c r="BK105" s="1"/>
      <c r="BL105" s="1"/>
      <c r="BM105" s="1"/>
      <c r="BN105" s="1"/>
      <c r="BO105" s="1"/>
      <c r="BP105" s="1">
        <v>1</v>
      </c>
      <c r="BQ105" s="1"/>
      <c r="BR105" s="1">
        <v>1</v>
      </c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7">
        <v>2</v>
      </c>
      <c r="CV105" s="7">
        <v>2</v>
      </c>
      <c r="CW105" s="7">
        <v>0</v>
      </c>
      <c r="CX105" s="7">
        <v>8</v>
      </c>
      <c r="CY105" s="1">
        <v>2</v>
      </c>
      <c r="CZ105" s="1"/>
      <c r="DA105" s="7">
        <v>1</v>
      </c>
      <c r="DB105" s="1"/>
      <c r="DC105" s="1">
        <v>1</v>
      </c>
      <c r="DD105" s="1"/>
      <c r="DE105" s="1"/>
      <c r="DF105" s="1">
        <v>1</v>
      </c>
      <c r="DG105" s="1"/>
      <c r="DH105" s="1"/>
      <c r="DI105" s="1"/>
      <c r="DJ105" s="1">
        <v>1</v>
      </c>
      <c r="DK105" s="1"/>
      <c r="DL105" s="1"/>
      <c r="DM105" s="1">
        <v>1</v>
      </c>
      <c r="DN105" s="1"/>
      <c r="DO105" s="1">
        <v>1</v>
      </c>
      <c r="DP105" s="1"/>
      <c r="DQ105" s="1">
        <v>1</v>
      </c>
      <c r="DR105" s="1"/>
      <c r="DS105" s="1"/>
      <c r="DT105" s="7">
        <v>3</v>
      </c>
      <c r="DU105" s="7">
        <v>1</v>
      </c>
      <c r="DV105" s="7">
        <v>103000</v>
      </c>
      <c r="DW105" s="1"/>
      <c r="DX105" s="7">
        <v>800</v>
      </c>
      <c r="DY105" s="7">
        <v>1200</v>
      </c>
      <c r="DZ105" s="1"/>
      <c r="EA105" s="1"/>
      <c r="EB105" s="1"/>
      <c r="EC105" s="1" t="s">
        <v>111</v>
      </c>
      <c r="ED105" s="1" t="s">
        <v>112</v>
      </c>
      <c r="EE105" s="1">
        <v>1</v>
      </c>
      <c r="EF105" s="1">
        <v>1</v>
      </c>
      <c r="EG105" s="1" t="s">
        <v>113</v>
      </c>
      <c r="EH105" s="1" t="s">
        <v>114</v>
      </c>
      <c r="EI105" s="1" t="s">
        <v>111</v>
      </c>
      <c r="EJ105" s="1" t="s">
        <v>114</v>
      </c>
      <c r="EK105" s="1">
        <v>6</v>
      </c>
      <c r="EL105" s="1">
        <v>4</v>
      </c>
    </row>
    <row r="106" spans="1:142" x14ac:dyDescent="0.25">
      <c r="A106" s="5">
        <v>102</v>
      </c>
      <c r="B106" s="17" t="s">
        <v>312</v>
      </c>
      <c r="C106" s="1" t="s">
        <v>313</v>
      </c>
      <c r="D106" s="35">
        <v>45625</v>
      </c>
      <c r="E106" s="1">
        <v>2</v>
      </c>
      <c r="F106" s="36"/>
      <c r="G106" s="1">
        <v>1</v>
      </c>
      <c r="H106" s="1">
        <v>50</v>
      </c>
      <c r="I106" s="1">
        <v>17</v>
      </c>
      <c r="J106" s="1">
        <v>12</v>
      </c>
      <c r="K106" s="1">
        <v>6</v>
      </c>
      <c r="L106" s="1">
        <f t="shared" si="11"/>
        <v>2</v>
      </c>
      <c r="M106" s="1" t="s">
        <v>107</v>
      </c>
      <c r="N106" s="1" t="s">
        <v>120</v>
      </c>
      <c r="O106" s="1" t="s">
        <v>109</v>
      </c>
      <c r="P106" s="1" t="s">
        <v>110</v>
      </c>
      <c r="Q106" s="1" t="s">
        <v>110</v>
      </c>
      <c r="R106" s="7">
        <v>1</v>
      </c>
      <c r="S106" s="1">
        <v>2</v>
      </c>
      <c r="T106" s="1">
        <v>0.25287999999999999</v>
      </c>
      <c r="U106" s="1"/>
      <c r="V106" s="1"/>
      <c r="W106" s="1"/>
      <c r="X106" s="1"/>
      <c r="Y106" s="1"/>
      <c r="Z106" s="3"/>
      <c r="AA106" s="3">
        <v>2</v>
      </c>
      <c r="AB106" s="3"/>
      <c r="AC106" s="3">
        <v>1</v>
      </c>
      <c r="AD106" s="3">
        <v>1</v>
      </c>
      <c r="AE106" s="3"/>
      <c r="AF106" s="1"/>
      <c r="AG106" s="1"/>
      <c r="AH106" s="1"/>
      <c r="AI106" s="1"/>
      <c r="AJ106" s="1"/>
      <c r="AK106" s="1"/>
      <c r="AL106" s="1"/>
      <c r="AM106" s="1"/>
      <c r="AN106" s="7">
        <v>8</v>
      </c>
      <c r="AO106" s="7">
        <v>4</v>
      </c>
      <c r="AP106" s="7">
        <f t="shared" si="21"/>
        <v>0.19</v>
      </c>
      <c r="AQ106" s="7">
        <f t="shared" si="12"/>
        <v>31.578947368421051</v>
      </c>
      <c r="AR106" s="7">
        <f t="shared" si="13"/>
        <v>0</v>
      </c>
      <c r="AS106" s="7">
        <f t="shared" si="14"/>
        <v>0.5</v>
      </c>
      <c r="AT106" s="7">
        <f t="shared" si="15"/>
        <v>0</v>
      </c>
      <c r="AU106" s="7">
        <f t="shared" si="16"/>
        <v>15.789473684210526</v>
      </c>
      <c r="AV106" s="7">
        <f t="shared" si="17"/>
        <v>15.789473684210526</v>
      </c>
      <c r="AW106" s="7">
        <f t="shared" si="18"/>
        <v>0</v>
      </c>
      <c r="AX106" s="7">
        <f t="shared" si="19"/>
        <v>47.368421052631575</v>
      </c>
      <c r="AY106" s="7">
        <v>0.5</v>
      </c>
      <c r="AZ106" s="18">
        <v>11.75</v>
      </c>
      <c r="BA106" s="18">
        <v>47</v>
      </c>
      <c r="BB106" s="7">
        <v>0</v>
      </c>
      <c r="BC106" s="7">
        <v>70</v>
      </c>
      <c r="BD106" s="7">
        <f t="shared" si="20"/>
        <v>17.5</v>
      </c>
      <c r="BE106" s="5">
        <v>0</v>
      </c>
      <c r="BF106" s="1">
        <v>0</v>
      </c>
      <c r="BG106" s="7">
        <v>4810</v>
      </c>
      <c r="BH106" s="7">
        <v>15000</v>
      </c>
      <c r="BI106" s="7">
        <v>900</v>
      </c>
      <c r="BJ106" s="7">
        <v>18</v>
      </c>
      <c r="BK106" s="1"/>
      <c r="BL106" s="1"/>
      <c r="BM106" s="1">
        <v>1</v>
      </c>
      <c r="BN106" s="1"/>
      <c r="BO106" s="1"/>
      <c r="BP106" s="1"/>
      <c r="BQ106" s="1"/>
      <c r="BR106" s="1"/>
      <c r="BS106" s="1"/>
      <c r="BT106" s="1"/>
      <c r="BU106" s="1">
        <v>1</v>
      </c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7">
        <v>6</v>
      </c>
      <c r="CV106" s="7">
        <v>2</v>
      </c>
      <c r="CW106" s="7">
        <v>0</v>
      </c>
      <c r="CX106" s="7">
        <v>8</v>
      </c>
      <c r="CY106" s="1">
        <v>2</v>
      </c>
      <c r="CZ106" s="1"/>
      <c r="DA106" s="7">
        <v>1</v>
      </c>
      <c r="DB106" s="1"/>
      <c r="DC106" s="1">
        <v>1</v>
      </c>
      <c r="DD106" s="1"/>
      <c r="DE106" s="1"/>
      <c r="DF106" s="1">
        <v>1</v>
      </c>
      <c r="DG106" s="1"/>
      <c r="DH106" s="1"/>
      <c r="DI106" s="1"/>
      <c r="DJ106" s="1">
        <v>1</v>
      </c>
      <c r="DK106" s="1"/>
      <c r="DL106" s="1"/>
      <c r="DM106" s="1">
        <v>1</v>
      </c>
      <c r="DN106" s="1"/>
      <c r="DO106" s="1">
        <v>1</v>
      </c>
      <c r="DP106" s="1"/>
      <c r="DQ106" s="1">
        <v>1</v>
      </c>
      <c r="DR106" s="1"/>
      <c r="DS106" s="1"/>
      <c r="DT106" s="7">
        <v>3</v>
      </c>
      <c r="DU106" s="7">
        <v>3</v>
      </c>
      <c r="DV106" s="1"/>
      <c r="DW106" s="1"/>
      <c r="DX106" s="7">
        <v>600</v>
      </c>
      <c r="DY106" s="7">
        <v>1200</v>
      </c>
      <c r="DZ106" s="1"/>
      <c r="EA106" s="1"/>
      <c r="EB106" s="1"/>
      <c r="EC106" s="1" t="s">
        <v>111</v>
      </c>
      <c r="ED106" s="1" t="s">
        <v>112</v>
      </c>
      <c r="EE106" s="1">
        <v>1</v>
      </c>
      <c r="EF106" s="1">
        <v>1</v>
      </c>
      <c r="EG106" s="1" t="s">
        <v>113</v>
      </c>
      <c r="EH106" s="1" t="s">
        <v>114</v>
      </c>
      <c r="EI106" s="1" t="s">
        <v>111</v>
      </c>
      <c r="EJ106" s="1" t="s">
        <v>114</v>
      </c>
      <c r="EK106" s="1">
        <v>5</v>
      </c>
      <c r="EL106" s="1">
        <v>4</v>
      </c>
    </row>
    <row r="107" spans="1:142" x14ac:dyDescent="0.25">
      <c r="A107" s="5">
        <v>103</v>
      </c>
      <c r="B107" s="17" t="s">
        <v>314</v>
      </c>
      <c r="C107" s="1" t="s">
        <v>315</v>
      </c>
      <c r="D107" s="35">
        <v>45625</v>
      </c>
      <c r="E107" s="1">
        <v>2</v>
      </c>
      <c r="F107" s="36">
        <v>2</v>
      </c>
      <c r="G107" s="1">
        <v>1</v>
      </c>
      <c r="H107" s="1">
        <v>39</v>
      </c>
      <c r="I107" s="1">
        <v>16</v>
      </c>
      <c r="J107" s="1">
        <v>5</v>
      </c>
      <c r="K107" s="1">
        <v>10</v>
      </c>
      <c r="L107" s="1">
        <f t="shared" si="11"/>
        <v>3</v>
      </c>
      <c r="M107" s="1" t="s">
        <v>107</v>
      </c>
      <c r="N107" s="1" t="s">
        <v>120</v>
      </c>
      <c r="O107" s="1" t="s">
        <v>109</v>
      </c>
      <c r="P107" s="1" t="s">
        <v>110</v>
      </c>
      <c r="Q107" s="1" t="s">
        <v>110</v>
      </c>
      <c r="R107" s="7">
        <v>3</v>
      </c>
      <c r="S107" s="1">
        <v>2</v>
      </c>
      <c r="T107" s="1">
        <v>0.25287999999999999</v>
      </c>
      <c r="U107" s="1"/>
      <c r="V107" s="1"/>
      <c r="W107" s="1"/>
      <c r="X107" s="1"/>
      <c r="Y107" s="1"/>
      <c r="Z107" s="3">
        <v>2</v>
      </c>
      <c r="AA107" s="3">
        <v>2</v>
      </c>
      <c r="AB107" s="3"/>
      <c r="AC107" s="3">
        <v>1</v>
      </c>
      <c r="AD107" s="3">
        <v>3</v>
      </c>
      <c r="AE107" s="3">
        <v>1</v>
      </c>
      <c r="AF107" s="1"/>
      <c r="AG107" s="1">
        <v>1</v>
      </c>
      <c r="AH107" s="1"/>
      <c r="AI107" s="1"/>
      <c r="AJ107" s="1"/>
      <c r="AK107" s="1"/>
      <c r="AL107" s="1"/>
      <c r="AM107" s="1"/>
      <c r="AN107" s="7">
        <v>10</v>
      </c>
      <c r="AO107" s="7">
        <v>9</v>
      </c>
      <c r="AP107" s="7">
        <f t="shared" si="21"/>
        <v>0.55000000000000004</v>
      </c>
      <c r="AQ107" s="7">
        <f t="shared" si="12"/>
        <v>21.818181818181813</v>
      </c>
      <c r="AR107" s="7">
        <f t="shared" si="13"/>
        <v>0.22222222222222221</v>
      </c>
      <c r="AS107" s="7">
        <f t="shared" si="14"/>
        <v>0.22222222222222221</v>
      </c>
      <c r="AT107" s="7">
        <f t="shared" si="15"/>
        <v>0</v>
      </c>
      <c r="AU107" s="7">
        <f t="shared" si="16"/>
        <v>5.4545454545454533</v>
      </c>
      <c r="AV107" s="7">
        <f t="shared" si="17"/>
        <v>16.36363636363636</v>
      </c>
      <c r="AW107" s="7">
        <f t="shared" si="18"/>
        <v>5.4545454545454533</v>
      </c>
      <c r="AX107" s="7">
        <f t="shared" si="19"/>
        <v>21.818181818181813</v>
      </c>
      <c r="AY107" s="7">
        <v>0.44444444439999997</v>
      </c>
      <c r="AZ107" s="18">
        <v>14.888888888888889</v>
      </c>
      <c r="BA107" s="18">
        <v>134</v>
      </c>
      <c r="BB107" s="7">
        <v>0</v>
      </c>
      <c r="BC107" s="7">
        <v>201</v>
      </c>
      <c r="BD107" s="7">
        <f t="shared" si="20"/>
        <v>22.333333333333332</v>
      </c>
      <c r="BE107" s="5">
        <v>1</v>
      </c>
      <c r="BF107" s="1">
        <v>700</v>
      </c>
      <c r="BG107" s="7">
        <v>12450</v>
      </c>
      <c r="BH107" s="7">
        <v>15000</v>
      </c>
      <c r="BI107" s="7">
        <v>1900</v>
      </c>
      <c r="BJ107" s="7">
        <v>38</v>
      </c>
      <c r="BK107" s="1"/>
      <c r="BL107" s="1"/>
      <c r="BM107" s="1">
        <v>3</v>
      </c>
      <c r="BN107" s="1"/>
      <c r="BO107" s="1"/>
      <c r="BP107" s="1">
        <v>1</v>
      </c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7">
        <v>6</v>
      </c>
      <c r="CV107" s="7">
        <v>2</v>
      </c>
      <c r="CW107" s="7">
        <v>0</v>
      </c>
      <c r="CX107" s="7">
        <v>8</v>
      </c>
      <c r="CY107" s="1">
        <v>2</v>
      </c>
      <c r="CZ107" s="1"/>
      <c r="DA107" s="7">
        <v>1</v>
      </c>
      <c r="DB107" s="1"/>
      <c r="DC107" s="1">
        <v>1</v>
      </c>
      <c r="DD107" s="1"/>
      <c r="DE107" s="1"/>
      <c r="DF107" s="1">
        <v>1</v>
      </c>
      <c r="DG107" s="1"/>
      <c r="DH107" s="1"/>
      <c r="DI107" s="1"/>
      <c r="DJ107" s="1">
        <v>1</v>
      </c>
      <c r="DK107" s="1"/>
      <c r="DL107" s="1"/>
      <c r="DM107" s="1">
        <v>1</v>
      </c>
      <c r="DN107" s="1"/>
      <c r="DO107" s="1">
        <v>1</v>
      </c>
      <c r="DP107" s="1"/>
      <c r="DQ107" s="1">
        <v>1</v>
      </c>
      <c r="DR107" s="1"/>
      <c r="DS107" s="1"/>
      <c r="DT107" s="7">
        <v>3</v>
      </c>
      <c r="DU107" s="7">
        <v>1</v>
      </c>
      <c r="DV107" s="7">
        <v>93300</v>
      </c>
      <c r="DW107" s="1"/>
      <c r="DX107" s="7">
        <v>1500</v>
      </c>
      <c r="DY107" s="7">
        <v>1600</v>
      </c>
      <c r="DZ107" s="1"/>
      <c r="EA107" s="1"/>
      <c r="EB107" s="1"/>
      <c r="EC107" s="1" t="s">
        <v>111</v>
      </c>
      <c r="ED107" s="1" t="s">
        <v>112</v>
      </c>
      <c r="EE107" s="1">
        <v>1</v>
      </c>
      <c r="EF107" s="1">
        <v>1</v>
      </c>
      <c r="EG107" s="1" t="s">
        <v>113</v>
      </c>
      <c r="EH107" s="1" t="s">
        <v>114</v>
      </c>
      <c r="EI107" s="1" t="s">
        <v>111</v>
      </c>
      <c r="EJ107" s="1" t="s">
        <v>114</v>
      </c>
      <c r="EK107" s="1">
        <v>6</v>
      </c>
      <c r="EL107" s="1">
        <v>4</v>
      </c>
    </row>
    <row r="108" spans="1:142" x14ac:dyDescent="0.25">
      <c r="A108" s="5">
        <v>104</v>
      </c>
      <c r="B108" s="17" t="s">
        <v>316</v>
      </c>
      <c r="C108" s="1" t="s">
        <v>231</v>
      </c>
      <c r="D108" s="35">
        <v>45625</v>
      </c>
      <c r="E108" s="1">
        <v>2</v>
      </c>
      <c r="F108" s="36"/>
      <c r="G108" s="1">
        <v>1</v>
      </c>
      <c r="H108" s="1">
        <v>29</v>
      </c>
      <c r="I108" s="1">
        <v>0</v>
      </c>
      <c r="J108" s="1">
        <v>1</v>
      </c>
      <c r="K108" s="1">
        <v>13</v>
      </c>
      <c r="L108" s="1">
        <f t="shared" si="11"/>
        <v>5</v>
      </c>
      <c r="M108" s="1" t="s">
        <v>107</v>
      </c>
      <c r="N108" s="1" t="s">
        <v>317</v>
      </c>
      <c r="O108" s="1" t="s">
        <v>109</v>
      </c>
      <c r="P108" s="1" t="s">
        <v>110</v>
      </c>
      <c r="Q108" s="1" t="s">
        <v>110</v>
      </c>
      <c r="R108" s="7">
        <v>1</v>
      </c>
      <c r="S108" s="1">
        <v>4</v>
      </c>
      <c r="T108" s="1">
        <v>0</v>
      </c>
      <c r="U108" s="1">
        <v>2</v>
      </c>
      <c r="V108" s="1"/>
      <c r="W108" s="1"/>
      <c r="X108" s="1"/>
      <c r="Y108" s="1"/>
      <c r="Z108" s="3"/>
      <c r="AA108" s="3">
        <v>2</v>
      </c>
      <c r="AB108" s="3"/>
      <c r="AC108" s="3"/>
      <c r="AD108" s="3"/>
      <c r="AE108" s="3"/>
      <c r="AF108" s="1"/>
      <c r="AG108" s="1"/>
      <c r="AH108" s="1"/>
      <c r="AI108" s="1"/>
      <c r="AJ108" s="1"/>
      <c r="AK108" s="1"/>
      <c r="AL108" s="1"/>
      <c r="AM108" s="1"/>
      <c r="AN108" s="7">
        <v>11</v>
      </c>
      <c r="AO108" s="7">
        <v>2</v>
      </c>
      <c r="AP108" s="7">
        <f t="shared" si="21"/>
        <v>0.06</v>
      </c>
      <c r="AQ108" s="7">
        <f t="shared" si="12"/>
        <v>100</v>
      </c>
      <c r="AR108" s="7">
        <f t="shared" si="13"/>
        <v>0</v>
      </c>
      <c r="AS108" s="7">
        <f t="shared" si="14"/>
        <v>1</v>
      </c>
      <c r="AT108" s="7">
        <f t="shared" si="15"/>
        <v>0</v>
      </c>
      <c r="AU108" s="7">
        <f t="shared" si="16"/>
        <v>0</v>
      </c>
      <c r="AV108" s="7">
        <f t="shared" si="17"/>
        <v>0</v>
      </c>
      <c r="AW108" s="7">
        <f t="shared" si="18"/>
        <v>0</v>
      </c>
      <c r="AX108" s="7">
        <f t="shared" si="19"/>
        <v>100</v>
      </c>
      <c r="AY108" s="7">
        <v>1</v>
      </c>
      <c r="AZ108" s="18">
        <v>6</v>
      </c>
      <c r="BA108" s="18">
        <v>12</v>
      </c>
      <c r="BB108" s="7">
        <v>0</v>
      </c>
      <c r="BC108" s="7">
        <v>26</v>
      </c>
      <c r="BD108" s="7">
        <f t="shared" si="20"/>
        <v>13</v>
      </c>
      <c r="BE108" s="5">
        <v>0</v>
      </c>
      <c r="BF108" s="1">
        <v>0</v>
      </c>
      <c r="BG108" s="7">
        <v>1650</v>
      </c>
      <c r="BH108" s="7">
        <v>15000</v>
      </c>
      <c r="BI108" s="7">
        <v>400</v>
      </c>
      <c r="BJ108" s="7">
        <v>8</v>
      </c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7">
        <v>2</v>
      </c>
      <c r="CV108" s="7">
        <v>2</v>
      </c>
      <c r="CW108" s="7">
        <v>0</v>
      </c>
      <c r="CX108" s="7">
        <v>8</v>
      </c>
      <c r="CY108" s="1">
        <v>2</v>
      </c>
      <c r="CZ108" s="1"/>
      <c r="DA108" s="7">
        <v>1</v>
      </c>
      <c r="DB108" s="1"/>
      <c r="DC108" s="1">
        <v>1</v>
      </c>
      <c r="DD108" s="1"/>
      <c r="DE108" s="1"/>
      <c r="DF108" s="1">
        <v>1</v>
      </c>
      <c r="DG108" s="1"/>
      <c r="DH108" s="1"/>
      <c r="DI108" s="1"/>
      <c r="DJ108" s="1">
        <v>1</v>
      </c>
      <c r="DK108" s="1"/>
      <c r="DL108" s="1"/>
      <c r="DM108" s="1">
        <v>1</v>
      </c>
      <c r="DN108" s="1"/>
      <c r="DO108" s="1">
        <v>1</v>
      </c>
      <c r="DP108" s="1"/>
      <c r="DQ108" s="1">
        <v>1</v>
      </c>
      <c r="DR108" s="1"/>
      <c r="DS108" s="1"/>
      <c r="DT108" s="7">
        <v>3</v>
      </c>
      <c r="DU108" s="7">
        <v>3</v>
      </c>
      <c r="DV108" s="1"/>
      <c r="DW108" s="1"/>
      <c r="DX108" s="7">
        <v>500</v>
      </c>
      <c r="DY108" s="7">
        <v>1000</v>
      </c>
      <c r="DZ108" s="1"/>
      <c r="EA108" s="1"/>
      <c r="EB108" s="1"/>
      <c r="EC108" s="1" t="s">
        <v>111</v>
      </c>
      <c r="ED108" s="1" t="s">
        <v>112</v>
      </c>
      <c r="EE108" s="1">
        <v>1</v>
      </c>
      <c r="EF108" s="1">
        <v>1</v>
      </c>
      <c r="EG108" s="1" t="s">
        <v>113</v>
      </c>
      <c r="EH108" s="1" t="s">
        <v>114</v>
      </c>
      <c r="EI108" s="1" t="s">
        <v>111</v>
      </c>
      <c r="EJ108" s="1" t="s">
        <v>114</v>
      </c>
      <c r="EK108" s="1">
        <v>5</v>
      </c>
      <c r="EL108" s="1">
        <v>4</v>
      </c>
    </row>
    <row r="109" spans="1:142" x14ac:dyDescent="0.25">
      <c r="A109" s="5">
        <v>105</v>
      </c>
      <c r="B109" s="17" t="s">
        <v>318</v>
      </c>
      <c r="C109" s="1" t="s">
        <v>319</v>
      </c>
      <c r="D109" s="35">
        <v>45625</v>
      </c>
      <c r="E109" s="1">
        <v>2</v>
      </c>
      <c r="F109" s="36"/>
      <c r="G109" s="1">
        <v>1</v>
      </c>
      <c r="H109" s="1">
        <v>46</v>
      </c>
      <c r="I109" s="1">
        <v>20</v>
      </c>
      <c r="J109" s="1">
        <v>2</v>
      </c>
      <c r="K109" s="1">
        <v>0</v>
      </c>
      <c r="L109" s="1">
        <f t="shared" si="11"/>
        <v>0</v>
      </c>
      <c r="M109" s="1" t="s">
        <v>107</v>
      </c>
      <c r="N109" s="1" t="s">
        <v>120</v>
      </c>
      <c r="O109" s="1" t="s">
        <v>141</v>
      </c>
      <c r="P109" s="1" t="s">
        <v>110</v>
      </c>
      <c r="Q109" s="1" t="s">
        <v>110</v>
      </c>
      <c r="R109" s="7">
        <v>3</v>
      </c>
      <c r="S109" s="1">
        <v>5</v>
      </c>
      <c r="T109" s="1">
        <v>1.8966E-2</v>
      </c>
      <c r="U109" s="1"/>
      <c r="V109" s="1"/>
      <c r="W109" s="1"/>
      <c r="X109" s="1"/>
      <c r="Y109" s="1"/>
      <c r="Z109" s="3">
        <v>1</v>
      </c>
      <c r="AA109" s="3">
        <v>2</v>
      </c>
      <c r="AB109" s="3"/>
      <c r="AC109" s="3"/>
      <c r="AD109" s="3">
        <v>1</v>
      </c>
      <c r="AE109" s="3">
        <v>1</v>
      </c>
      <c r="AF109" s="1"/>
      <c r="AG109" s="1"/>
      <c r="AH109" s="1"/>
      <c r="AI109" s="1"/>
      <c r="AJ109" s="1"/>
      <c r="AK109" s="1"/>
      <c r="AL109" s="1">
        <v>2</v>
      </c>
      <c r="AM109" s="1">
        <v>5</v>
      </c>
      <c r="AN109" s="7">
        <v>10</v>
      </c>
      <c r="AO109" s="7">
        <v>5</v>
      </c>
      <c r="AP109" s="7">
        <f t="shared" si="21"/>
        <v>0.29000000000000004</v>
      </c>
      <c r="AQ109" s="7">
        <f t="shared" si="12"/>
        <v>31.034482758620683</v>
      </c>
      <c r="AR109" s="7">
        <f t="shared" si="13"/>
        <v>0.2</v>
      </c>
      <c r="AS109" s="7">
        <f t="shared" si="14"/>
        <v>0.4</v>
      </c>
      <c r="AT109" s="7">
        <f t="shared" si="15"/>
        <v>0</v>
      </c>
      <c r="AU109" s="7">
        <f t="shared" si="16"/>
        <v>0</v>
      </c>
      <c r="AV109" s="7">
        <f t="shared" si="17"/>
        <v>10.344827586206895</v>
      </c>
      <c r="AW109" s="7">
        <f t="shared" si="18"/>
        <v>10.344827586206895</v>
      </c>
      <c r="AX109" s="7">
        <f t="shared" si="19"/>
        <v>31.034482758620683</v>
      </c>
      <c r="AY109" s="7">
        <v>0.4</v>
      </c>
      <c r="AZ109" s="18">
        <v>13</v>
      </c>
      <c r="BA109" s="18">
        <v>65</v>
      </c>
      <c r="BB109" s="7">
        <v>0.5</v>
      </c>
      <c r="BC109" s="7">
        <v>91</v>
      </c>
      <c r="BD109" s="7">
        <f t="shared" si="20"/>
        <v>18.2</v>
      </c>
      <c r="BE109" s="5">
        <v>1</v>
      </c>
      <c r="BF109" s="1">
        <v>650</v>
      </c>
      <c r="BG109" s="7">
        <v>5380</v>
      </c>
      <c r="BH109" s="7">
        <v>15000</v>
      </c>
      <c r="BI109" s="7">
        <v>1000</v>
      </c>
      <c r="BJ109" s="7">
        <v>20</v>
      </c>
      <c r="BK109" s="1"/>
      <c r="BL109" s="1"/>
      <c r="BM109" s="1">
        <v>1</v>
      </c>
      <c r="BN109" s="1"/>
      <c r="BO109" s="1"/>
      <c r="BP109" s="1">
        <v>1</v>
      </c>
      <c r="BQ109" s="1">
        <v>1</v>
      </c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7">
        <v>2</v>
      </c>
      <c r="CV109" s="7">
        <v>2</v>
      </c>
      <c r="CW109" s="7">
        <v>0</v>
      </c>
      <c r="CX109" s="7">
        <v>8</v>
      </c>
      <c r="CY109" s="1">
        <v>2</v>
      </c>
      <c r="CZ109" s="1"/>
      <c r="DA109" s="7">
        <v>1</v>
      </c>
      <c r="DB109" s="1"/>
      <c r="DC109" s="1"/>
      <c r="DD109" s="1"/>
      <c r="DE109" s="1"/>
      <c r="DF109" s="1">
        <v>1</v>
      </c>
      <c r="DG109" s="1"/>
      <c r="DH109" s="1"/>
      <c r="DI109" s="1"/>
      <c r="DJ109" s="1">
        <v>1</v>
      </c>
      <c r="DK109" s="1"/>
      <c r="DL109" s="1"/>
      <c r="DM109" s="1">
        <v>1</v>
      </c>
      <c r="DN109" s="1"/>
      <c r="DO109" s="1"/>
      <c r="DP109" s="1"/>
      <c r="DQ109" s="1">
        <v>1</v>
      </c>
      <c r="DR109" s="1"/>
      <c r="DS109" s="1"/>
      <c r="DT109" s="7">
        <v>3</v>
      </c>
      <c r="DU109" s="7">
        <v>3</v>
      </c>
      <c r="DV109" s="1"/>
      <c r="DW109" s="1"/>
      <c r="DX109" s="7">
        <v>1000</v>
      </c>
      <c r="DY109" s="7">
        <v>400</v>
      </c>
      <c r="DZ109" s="1"/>
      <c r="EA109" s="1"/>
      <c r="EB109" s="1"/>
      <c r="EC109" s="1" t="s">
        <v>111</v>
      </c>
      <c r="ED109" s="1" t="s">
        <v>112</v>
      </c>
      <c r="EE109" s="1">
        <v>1</v>
      </c>
      <c r="EF109" s="1">
        <v>1</v>
      </c>
      <c r="EG109" s="1" t="s">
        <v>113</v>
      </c>
      <c r="EH109" s="1" t="s">
        <v>114</v>
      </c>
      <c r="EI109" s="1" t="s">
        <v>111</v>
      </c>
      <c r="EJ109" s="1" t="s">
        <v>114</v>
      </c>
      <c r="EK109" s="1">
        <v>5</v>
      </c>
      <c r="EL109" s="1">
        <v>4</v>
      </c>
    </row>
    <row r="110" spans="1:142" x14ac:dyDescent="0.25">
      <c r="A110" s="5">
        <v>106</v>
      </c>
      <c r="B110" s="17" t="s">
        <v>320</v>
      </c>
      <c r="C110" s="1" t="s">
        <v>321</v>
      </c>
      <c r="D110" s="35">
        <v>45625</v>
      </c>
      <c r="E110" s="1">
        <v>2</v>
      </c>
      <c r="F110" s="36"/>
      <c r="G110" s="1">
        <v>1</v>
      </c>
      <c r="H110" s="1">
        <v>68</v>
      </c>
      <c r="I110" s="1">
        <v>40</v>
      </c>
      <c r="J110" s="1">
        <v>1</v>
      </c>
      <c r="K110" s="1">
        <v>0</v>
      </c>
      <c r="L110" s="1">
        <f t="shared" si="11"/>
        <v>0</v>
      </c>
      <c r="M110" s="1" t="s">
        <v>107</v>
      </c>
      <c r="N110" s="1" t="s">
        <v>120</v>
      </c>
      <c r="O110" s="1" t="s">
        <v>141</v>
      </c>
      <c r="P110" s="1" t="s">
        <v>110</v>
      </c>
      <c r="Q110" s="1" t="s">
        <v>110</v>
      </c>
      <c r="R110" s="7">
        <v>3</v>
      </c>
      <c r="S110" s="1">
        <v>2</v>
      </c>
      <c r="T110" s="1">
        <v>0</v>
      </c>
      <c r="U110" s="1"/>
      <c r="V110" s="1"/>
      <c r="W110" s="1"/>
      <c r="X110" s="1"/>
      <c r="Y110" s="1"/>
      <c r="Z110" s="3"/>
      <c r="AA110" s="3">
        <v>1</v>
      </c>
      <c r="AB110" s="3"/>
      <c r="AC110" s="3">
        <v>1</v>
      </c>
      <c r="AD110" s="3"/>
      <c r="AE110" s="3"/>
      <c r="AF110" s="1"/>
      <c r="AG110" s="1"/>
      <c r="AH110" s="1"/>
      <c r="AI110" s="1"/>
      <c r="AJ110" s="1"/>
      <c r="AK110" s="1"/>
      <c r="AL110" s="1"/>
      <c r="AM110" s="1"/>
      <c r="AN110" s="7">
        <v>11</v>
      </c>
      <c r="AO110" s="7">
        <v>2</v>
      </c>
      <c r="AP110" s="7">
        <f t="shared" si="21"/>
        <v>0.06</v>
      </c>
      <c r="AQ110" s="7">
        <f t="shared" si="12"/>
        <v>50</v>
      </c>
      <c r="AR110" s="7">
        <f t="shared" si="13"/>
        <v>0</v>
      </c>
      <c r="AS110" s="7">
        <f t="shared" si="14"/>
        <v>0.5</v>
      </c>
      <c r="AT110" s="7">
        <f t="shared" si="15"/>
        <v>0</v>
      </c>
      <c r="AU110" s="7">
        <f t="shared" si="16"/>
        <v>50</v>
      </c>
      <c r="AV110" s="7">
        <f t="shared" si="17"/>
        <v>0</v>
      </c>
      <c r="AW110" s="7">
        <f t="shared" si="18"/>
        <v>0</v>
      </c>
      <c r="AX110" s="7">
        <f t="shared" si="19"/>
        <v>100</v>
      </c>
      <c r="AY110" s="7">
        <v>0.5</v>
      </c>
      <c r="AZ110" s="18">
        <v>7.5</v>
      </c>
      <c r="BA110" s="18">
        <v>15</v>
      </c>
      <c r="BB110" s="7">
        <v>0</v>
      </c>
      <c r="BC110" s="7">
        <v>30</v>
      </c>
      <c r="BD110" s="7">
        <f t="shared" si="20"/>
        <v>15</v>
      </c>
      <c r="BE110" s="5">
        <v>0</v>
      </c>
      <c r="BF110" s="1">
        <v>0</v>
      </c>
      <c r="BG110" s="7">
        <v>2170</v>
      </c>
      <c r="BH110" s="7">
        <v>30000</v>
      </c>
      <c r="BI110" s="7">
        <v>400</v>
      </c>
      <c r="BJ110" s="7">
        <v>8</v>
      </c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>
        <v>1</v>
      </c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>
        <v>1</v>
      </c>
      <c r="CM110" s="1"/>
      <c r="CN110" s="1"/>
      <c r="CO110" s="1"/>
      <c r="CP110" s="1"/>
      <c r="CQ110" s="1"/>
      <c r="CR110" s="1"/>
      <c r="CS110" s="1"/>
      <c r="CT110" s="1"/>
      <c r="CU110" s="7">
        <v>2</v>
      </c>
      <c r="CV110" s="7">
        <v>2</v>
      </c>
      <c r="CW110" s="7">
        <v>0</v>
      </c>
      <c r="CX110" s="7">
        <v>8</v>
      </c>
      <c r="CY110" s="1">
        <v>4</v>
      </c>
      <c r="CZ110" s="1"/>
      <c r="DA110" s="7">
        <v>1</v>
      </c>
      <c r="DB110" s="1"/>
      <c r="DC110" s="1"/>
      <c r="DD110" s="1"/>
      <c r="DE110" s="1"/>
      <c r="DF110" s="1">
        <v>1</v>
      </c>
      <c r="DG110" s="1"/>
      <c r="DH110" s="1"/>
      <c r="DI110" s="1"/>
      <c r="DJ110" s="1">
        <v>1</v>
      </c>
      <c r="DK110" s="1"/>
      <c r="DL110" s="1"/>
      <c r="DM110" s="1">
        <v>1</v>
      </c>
      <c r="DN110" s="1"/>
      <c r="DO110" s="1"/>
      <c r="DP110" s="1"/>
      <c r="DQ110" s="1">
        <v>1</v>
      </c>
      <c r="DR110" s="1"/>
      <c r="DS110" s="1"/>
      <c r="DT110" s="7">
        <v>3</v>
      </c>
      <c r="DU110" s="7">
        <v>3</v>
      </c>
      <c r="DV110" s="1"/>
      <c r="DW110" s="1"/>
      <c r="DX110" s="7">
        <v>400</v>
      </c>
      <c r="DY110" s="7">
        <v>400</v>
      </c>
      <c r="DZ110" s="1"/>
      <c r="EA110" s="1"/>
      <c r="EB110" s="1"/>
      <c r="EC110" s="1" t="s">
        <v>111</v>
      </c>
      <c r="ED110" s="1" t="s">
        <v>112</v>
      </c>
      <c r="EE110" s="1">
        <v>1</v>
      </c>
      <c r="EF110" s="1">
        <v>1</v>
      </c>
      <c r="EG110" s="1" t="s">
        <v>113</v>
      </c>
      <c r="EH110" s="1" t="s">
        <v>114</v>
      </c>
      <c r="EI110" s="1" t="s">
        <v>111</v>
      </c>
      <c r="EJ110" s="1" t="s">
        <v>114</v>
      </c>
      <c r="EK110" s="1">
        <v>5</v>
      </c>
      <c r="EL110" s="1">
        <v>5</v>
      </c>
    </row>
    <row r="111" spans="1:142" x14ac:dyDescent="0.25">
      <c r="A111" s="5">
        <v>107</v>
      </c>
      <c r="B111" s="17" t="s">
        <v>210</v>
      </c>
      <c r="C111" s="1" t="s">
        <v>322</v>
      </c>
      <c r="D111" s="35">
        <v>45625</v>
      </c>
      <c r="E111" s="1">
        <v>2</v>
      </c>
      <c r="F111" s="36"/>
      <c r="G111" s="1">
        <v>1</v>
      </c>
      <c r="H111" s="1">
        <v>52</v>
      </c>
      <c r="I111" s="1">
        <v>30</v>
      </c>
      <c r="J111" s="1">
        <v>25</v>
      </c>
      <c r="K111" s="1">
        <v>0</v>
      </c>
      <c r="L111" s="1">
        <f t="shared" si="11"/>
        <v>0</v>
      </c>
      <c r="M111" s="1" t="s">
        <v>107</v>
      </c>
      <c r="N111" s="1" t="s">
        <v>141</v>
      </c>
      <c r="O111" s="1" t="s">
        <v>109</v>
      </c>
      <c r="P111" s="1" t="s">
        <v>110</v>
      </c>
      <c r="Q111" s="1" t="s">
        <v>110</v>
      </c>
      <c r="R111" s="7">
        <v>3</v>
      </c>
      <c r="S111" s="1">
        <v>5</v>
      </c>
      <c r="T111" s="1">
        <v>0</v>
      </c>
      <c r="U111" s="1"/>
      <c r="V111" s="1"/>
      <c r="W111" s="1"/>
      <c r="X111" s="1"/>
      <c r="Y111" s="1"/>
      <c r="Z111" s="3"/>
      <c r="AA111" s="3">
        <v>2</v>
      </c>
      <c r="AB111" s="3">
        <v>1</v>
      </c>
      <c r="AC111" s="3">
        <v>1</v>
      </c>
      <c r="AD111" s="3"/>
      <c r="AE111" s="3">
        <v>3</v>
      </c>
      <c r="AF111" s="1"/>
      <c r="AG111" s="1"/>
      <c r="AH111" s="1"/>
      <c r="AI111" s="1"/>
      <c r="AJ111" s="1"/>
      <c r="AK111" s="1"/>
      <c r="AL111" s="1"/>
      <c r="AM111" s="1"/>
      <c r="AN111" s="7">
        <v>8</v>
      </c>
      <c r="AO111" s="7">
        <v>7</v>
      </c>
      <c r="AP111" s="7">
        <f t="shared" si="21"/>
        <v>0.42000000000000004</v>
      </c>
      <c r="AQ111" s="7">
        <f t="shared" si="12"/>
        <v>14.285714285714285</v>
      </c>
      <c r="AR111" s="7">
        <f t="shared" si="13"/>
        <v>0</v>
      </c>
      <c r="AS111" s="7">
        <f t="shared" si="14"/>
        <v>0.2857142857142857</v>
      </c>
      <c r="AT111" s="7">
        <f t="shared" si="15"/>
        <v>7.1428571428571423</v>
      </c>
      <c r="AU111" s="7">
        <f t="shared" si="16"/>
        <v>7.1428571428571423</v>
      </c>
      <c r="AV111" s="7">
        <f t="shared" si="17"/>
        <v>0</v>
      </c>
      <c r="AW111" s="7">
        <f t="shared" si="18"/>
        <v>21.428571428571423</v>
      </c>
      <c r="AX111" s="7">
        <f t="shared" si="19"/>
        <v>42.857142857142847</v>
      </c>
      <c r="AY111" s="7">
        <v>0.28571428569999996</v>
      </c>
      <c r="AZ111" s="18">
        <v>17.142857142857142</v>
      </c>
      <c r="BA111" s="18">
        <v>120</v>
      </c>
      <c r="BB111" s="7">
        <v>0</v>
      </c>
      <c r="BC111" s="7">
        <v>154</v>
      </c>
      <c r="BD111" s="7">
        <f t="shared" si="20"/>
        <v>22</v>
      </c>
      <c r="BE111" s="5">
        <v>3</v>
      </c>
      <c r="BF111" s="1">
        <v>616.66999999999996</v>
      </c>
      <c r="BG111" s="7">
        <v>10710</v>
      </c>
      <c r="BH111" s="7">
        <v>30000</v>
      </c>
      <c r="BI111" s="7">
        <v>1500</v>
      </c>
      <c r="BJ111" s="7">
        <v>30</v>
      </c>
      <c r="BK111" s="1"/>
      <c r="BL111" s="1"/>
      <c r="BM111" s="1"/>
      <c r="BN111" s="1"/>
      <c r="BO111" s="1"/>
      <c r="BP111" s="1">
        <v>3</v>
      </c>
      <c r="BQ111" s="1"/>
      <c r="BR111" s="1">
        <v>1</v>
      </c>
      <c r="BS111" s="1"/>
      <c r="BT111" s="1"/>
      <c r="BU111" s="1">
        <v>1</v>
      </c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7">
        <v>2</v>
      </c>
      <c r="CV111" s="7">
        <v>2</v>
      </c>
      <c r="CW111" s="7">
        <v>0</v>
      </c>
      <c r="CX111" s="7">
        <v>8</v>
      </c>
      <c r="CY111" s="1">
        <v>4</v>
      </c>
      <c r="CZ111" s="1"/>
      <c r="DA111" s="7">
        <v>1</v>
      </c>
      <c r="DB111" s="1"/>
      <c r="DC111" s="1"/>
      <c r="DD111" s="1"/>
      <c r="DE111" s="1"/>
      <c r="DF111" s="1">
        <v>1</v>
      </c>
      <c r="DG111" s="1"/>
      <c r="DH111" s="1"/>
      <c r="DI111" s="1"/>
      <c r="DJ111" s="1">
        <v>1</v>
      </c>
      <c r="DK111" s="1"/>
      <c r="DL111" s="1"/>
      <c r="DM111" s="1">
        <v>1</v>
      </c>
      <c r="DN111" s="1"/>
      <c r="DO111" s="1"/>
      <c r="DP111" s="1"/>
      <c r="DQ111" s="1">
        <v>1</v>
      </c>
      <c r="DR111" s="1"/>
      <c r="DS111" s="1"/>
      <c r="DT111" s="7">
        <v>3</v>
      </c>
      <c r="DU111" s="7">
        <v>1</v>
      </c>
      <c r="DV111" s="7">
        <v>110300</v>
      </c>
      <c r="DW111" s="1"/>
      <c r="DX111" s="7">
        <v>1200</v>
      </c>
      <c r="DY111" s="7">
        <v>1700</v>
      </c>
      <c r="DZ111" s="1"/>
      <c r="EA111" s="1"/>
      <c r="EB111" s="1"/>
      <c r="EC111" s="1" t="s">
        <v>111</v>
      </c>
      <c r="ED111" s="1" t="s">
        <v>112</v>
      </c>
      <c r="EE111" s="1">
        <v>1</v>
      </c>
      <c r="EF111" s="1">
        <v>1</v>
      </c>
      <c r="EG111" s="1" t="s">
        <v>113</v>
      </c>
      <c r="EH111" s="1" t="s">
        <v>114</v>
      </c>
      <c r="EI111" s="1" t="s">
        <v>111</v>
      </c>
      <c r="EJ111" s="1" t="s">
        <v>114</v>
      </c>
      <c r="EK111" s="1">
        <v>5</v>
      </c>
      <c r="EL111" s="1">
        <v>4</v>
      </c>
    </row>
    <row r="112" spans="1:142" x14ac:dyDescent="0.25">
      <c r="A112" s="5">
        <v>108</v>
      </c>
      <c r="B112" s="17" t="s">
        <v>323</v>
      </c>
      <c r="C112" s="1" t="s">
        <v>304</v>
      </c>
      <c r="D112" s="35">
        <v>45625</v>
      </c>
      <c r="E112" s="1">
        <v>2</v>
      </c>
      <c r="F112" s="36"/>
      <c r="G112" s="1">
        <v>1</v>
      </c>
      <c r="H112" s="1">
        <v>26</v>
      </c>
      <c r="I112" s="1">
        <v>0</v>
      </c>
      <c r="J112" s="1">
        <v>1</v>
      </c>
      <c r="K112" s="1">
        <v>12</v>
      </c>
      <c r="L112" s="1">
        <f t="shared" si="11"/>
        <v>4</v>
      </c>
      <c r="M112" s="1" t="s">
        <v>107</v>
      </c>
      <c r="N112" s="1" t="s">
        <v>308</v>
      </c>
      <c r="O112" s="1" t="s">
        <v>109</v>
      </c>
      <c r="P112" s="1" t="s">
        <v>110</v>
      </c>
      <c r="Q112" s="1" t="s">
        <v>110</v>
      </c>
      <c r="R112" s="7">
        <v>2</v>
      </c>
      <c r="S112" s="1">
        <v>4</v>
      </c>
      <c r="T112" s="1">
        <v>0</v>
      </c>
      <c r="U112" s="1"/>
      <c r="V112" s="1"/>
      <c r="W112" s="1"/>
      <c r="X112" s="1"/>
      <c r="Y112" s="1"/>
      <c r="Z112" s="3"/>
      <c r="AA112" s="3">
        <v>2</v>
      </c>
      <c r="AB112" s="3"/>
      <c r="AC112" s="3">
        <v>1</v>
      </c>
      <c r="AD112" s="3"/>
      <c r="AE112" s="3"/>
      <c r="AF112" s="1"/>
      <c r="AG112" s="1"/>
      <c r="AH112" s="1"/>
      <c r="AI112" s="1"/>
      <c r="AJ112" s="1"/>
      <c r="AK112" s="1"/>
      <c r="AL112" s="1"/>
      <c r="AM112" s="1"/>
      <c r="AN112" s="7">
        <v>13</v>
      </c>
      <c r="AO112" s="7">
        <v>3</v>
      </c>
      <c r="AP112" s="7">
        <f t="shared" si="21"/>
        <v>0.09</v>
      </c>
      <c r="AQ112" s="7">
        <f t="shared" si="12"/>
        <v>66.666666666666657</v>
      </c>
      <c r="AR112" s="7">
        <f t="shared" si="13"/>
        <v>0</v>
      </c>
      <c r="AS112" s="7">
        <f t="shared" si="14"/>
        <v>0.66666666666666663</v>
      </c>
      <c r="AT112" s="7">
        <f t="shared" si="15"/>
        <v>0</v>
      </c>
      <c r="AU112" s="7">
        <f t="shared" si="16"/>
        <v>33.333333333333329</v>
      </c>
      <c r="AV112" s="7">
        <f t="shared" si="17"/>
        <v>0</v>
      </c>
      <c r="AW112" s="7">
        <f t="shared" si="18"/>
        <v>0</v>
      </c>
      <c r="AX112" s="7">
        <f t="shared" si="19"/>
        <v>100</v>
      </c>
      <c r="AY112" s="7">
        <v>0.66666666669999997</v>
      </c>
      <c r="AZ112" s="18">
        <v>7</v>
      </c>
      <c r="BA112" s="18">
        <v>21</v>
      </c>
      <c r="BB112" s="7">
        <v>0</v>
      </c>
      <c r="BC112" s="7">
        <v>32</v>
      </c>
      <c r="BD112" s="7">
        <f t="shared" si="20"/>
        <v>10.666666666666666</v>
      </c>
      <c r="BE112" s="5">
        <v>0</v>
      </c>
      <c r="BF112" s="1">
        <v>0</v>
      </c>
      <c r="BG112" s="7">
        <v>2470</v>
      </c>
      <c r="BH112" s="7">
        <v>15000</v>
      </c>
      <c r="BI112" s="7">
        <v>600</v>
      </c>
      <c r="BJ112" s="7">
        <v>12</v>
      </c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>
        <v>1</v>
      </c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7">
        <v>2</v>
      </c>
      <c r="CV112" s="7">
        <v>2</v>
      </c>
      <c r="CW112" s="7">
        <v>0</v>
      </c>
      <c r="CX112" s="7">
        <v>8</v>
      </c>
      <c r="CY112" s="1">
        <v>2</v>
      </c>
      <c r="CZ112" s="1"/>
      <c r="DA112" s="7">
        <v>1</v>
      </c>
      <c r="DB112" s="1"/>
      <c r="DC112" s="1"/>
      <c r="DD112" s="1"/>
      <c r="DE112" s="1"/>
      <c r="DF112" s="1">
        <v>1</v>
      </c>
      <c r="DG112" s="1"/>
      <c r="DH112" s="1"/>
      <c r="DI112" s="1"/>
      <c r="DJ112" s="1">
        <v>1</v>
      </c>
      <c r="DK112" s="1"/>
      <c r="DL112" s="1"/>
      <c r="DM112" s="1">
        <v>1</v>
      </c>
      <c r="DN112" s="1"/>
      <c r="DO112" s="1"/>
      <c r="DP112" s="1"/>
      <c r="DQ112" s="1">
        <v>1</v>
      </c>
      <c r="DR112" s="1"/>
      <c r="DS112" s="1"/>
      <c r="DT112" s="7">
        <v>3</v>
      </c>
      <c r="DU112" s="7">
        <v>1</v>
      </c>
      <c r="DV112" s="7">
        <v>98700</v>
      </c>
      <c r="DW112" s="1"/>
      <c r="DX112" s="7">
        <v>500</v>
      </c>
      <c r="DY112" s="7">
        <v>900</v>
      </c>
      <c r="DZ112" s="1"/>
      <c r="EA112" s="1"/>
      <c r="EB112" s="1"/>
      <c r="EC112" s="1" t="s">
        <v>111</v>
      </c>
      <c r="ED112" s="1" t="s">
        <v>112</v>
      </c>
      <c r="EE112" s="1">
        <v>1</v>
      </c>
      <c r="EF112" s="1">
        <v>1</v>
      </c>
      <c r="EG112" s="1" t="s">
        <v>113</v>
      </c>
      <c r="EH112" s="1" t="s">
        <v>114</v>
      </c>
      <c r="EI112" s="1" t="s">
        <v>111</v>
      </c>
      <c r="EJ112" s="1" t="s">
        <v>114</v>
      </c>
      <c r="EK112" s="1">
        <v>6</v>
      </c>
      <c r="EL112" s="1">
        <v>5</v>
      </c>
    </row>
    <row r="113" spans="1:142" x14ac:dyDescent="0.25">
      <c r="A113" s="5">
        <v>109</v>
      </c>
      <c r="B113" s="17" t="s">
        <v>324</v>
      </c>
      <c r="C113" s="1" t="s">
        <v>325</v>
      </c>
      <c r="D113" s="35">
        <v>45625</v>
      </c>
      <c r="E113" s="1">
        <v>2</v>
      </c>
      <c r="F113" s="36"/>
      <c r="G113" s="1">
        <v>1</v>
      </c>
      <c r="H113" s="1">
        <v>41</v>
      </c>
      <c r="I113" s="1">
        <v>15</v>
      </c>
      <c r="J113" s="1">
        <v>10</v>
      </c>
      <c r="K113" s="1">
        <v>10</v>
      </c>
      <c r="L113" s="1">
        <f t="shared" si="11"/>
        <v>3</v>
      </c>
      <c r="M113" s="1" t="s">
        <v>107</v>
      </c>
      <c r="N113" s="1" t="s">
        <v>120</v>
      </c>
      <c r="O113" s="1" t="s">
        <v>109</v>
      </c>
      <c r="P113" s="1" t="s">
        <v>110</v>
      </c>
      <c r="Q113" s="1" t="s">
        <v>110</v>
      </c>
      <c r="R113" s="7">
        <v>1</v>
      </c>
      <c r="S113" s="1">
        <v>5</v>
      </c>
      <c r="T113" s="1">
        <v>0</v>
      </c>
      <c r="U113" s="1"/>
      <c r="V113" s="1"/>
      <c r="W113" s="1"/>
      <c r="X113" s="1"/>
      <c r="Y113" s="1"/>
      <c r="Z113" s="3"/>
      <c r="AA113" s="3">
        <v>2</v>
      </c>
      <c r="AB113" s="3"/>
      <c r="AC113" s="3">
        <v>2</v>
      </c>
      <c r="AD113" s="3">
        <v>2</v>
      </c>
      <c r="AE113" s="3">
        <v>3</v>
      </c>
      <c r="AF113" s="1"/>
      <c r="AG113" s="1"/>
      <c r="AH113" s="1"/>
      <c r="AI113" s="1"/>
      <c r="AJ113" s="1"/>
      <c r="AK113" s="1"/>
      <c r="AL113" s="1">
        <v>2</v>
      </c>
      <c r="AM113" s="1">
        <v>4</v>
      </c>
      <c r="AN113" s="7">
        <v>9</v>
      </c>
      <c r="AO113" s="7">
        <v>9</v>
      </c>
      <c r="AP113" s="7">
        <f t="shared" si="21"/>
        <v>0.62</v>
      </c>
      <c r="AQ113" s="7">
        <f t="shared" si="12"/>
        <v>9.67741935483871</v>
      </c>
      <c r="AR113" s="7">
        <f t="shared" si="13"/>
        <v>0</v>
      </c>
      <c r="AS113" s="7">
        <f t="shared" si="14"/>
        <v>0.22222222222222221</v>
      </c>
      <c r="AT113" s="7">
        <f t="shared" si="15"/>
        <v>0</v>
      </c>
      <c r="AU113" s="7">
        <f t="shared" si="16"/>
        <v>9.67741935483871</v>
      </c>
      <c r="AV113" s="7">
        <f t="shared" si="17"/>
        <v>9.67741935483871</v>
      </c>
      <c r="AW113" s="7">
        <f t="shared" si="18"/>
        <v>14.516129032258062</v>
      </c>
      <c r="AX113" s="7">
        <f t="shared" si="19"/>
        <v>33.87096774193548</v>
      </c>
      <c r="AY113" s="7">
        <v>0.22222222219999999</v>
      </c>
      <c r="AZ113" s="18">
        <v>20.222222222222221</v>
      </c>
      <c r="BA113" s="18">
        <v>182</v>
      </c>
      <c r="BB113" s="7">
        <v>0</v>
      </c>
      <c r="BC113" s="7">
        <v>225</v>
      </c>
      <c r="BD113" s="7">
        <f t="shared" si="20"/>
        <v>25</v>
      </c>
      <c r="BE113" s="5">
        <v>3</v>
      </c>
      <c r="BF113" s="1">
        <v>616.66999999999996</v>
      </c>
      <c r="BG113" s="7">
        <v>14910</v>
      </c>
      <c r="BH113" s="7">
        <v>30000</v>
      </c>
      <c r="BI113" s="7">
        <v>1900</v>
      </c>
      <c r="BJ113" s="7">
        <v>38</v>
      </c>
      <c r="BK113" s="1"/>
      <c r="BL113" s="1"/>
      <c r="BM113" s="1">
        <v>2</v>
      </c>
      <c r="BN113" s="1"/>
      <c r="BO113" s="1"/>
      <c r="BP113" s="1">
        <v>3</v>
      </c>
      <c r="BQ113" s="1"/>
      <c r="BR113" s="1"/>
      <c r="BS113" s="1"/>
      <c r="BT113" s="1"/>
      <c r="BU113" s="1">
        <v>2</v>
      </c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7">
        <v>2</v>
      </c>
      <c r="CV113" s="7">
        <v>2</v>
      </c>
      <c r="CW113" s="7">
        <v>0</v>
      </c>
      <c r="CX113" s="7">
        <v>8</v>
      </c>
      <c r="CY113" s="1">
        <v>4</v>
      </c>
      <c r="CZ113" s="1"/>
      <c r="DA113" s="7">
        <v>1</v>
      </c>
      <c r="DB113" s="1"/>
      <c r="DC113" s="1"/>
      <c r="DD113" s="1"/>
      <c r="DE113" s="1"/>
      <c r="DF113" s="1">
        <v>1</v>
      </c>
      <c r="DG113" s="1"/>
      <c r="DH113" s="1"/>
      <c r="DI113" s="1"/>
      <c r="DJ113" s="1">
        <v>1</v>
      </c>
      <c r="DK113" s="1"/>
      <c r="DL113" s="1"/>
      <c r="DM113" s="1">
        <v>1</v>
      </c>
      <c r="DN113" s="1"/>
      <c r="DO113" s="1"/>
      <c r="DP113" s="1"/>
      <c r="DQ113" s="1">
        <v>1</v>
      </c>
      <c r="DR113" s="1"/>
      <c r="DS113" s="1"/>
      <c r="DT113" s="7">
        <v>3</v>
      </c>
      <c r="DU113" s="7">
        <v>1</v>
      </c>
      <c r="DV113" s="7">
        <v>109400</v>
      </c>
      <c r="DW113" s="1"/>
      <c r="DX113" s="7">
        <v>1500</v>
      </c>
      <c r="DY113" s="7">
        <v>2000</v>
      </c>
      <c r="DZ113" s="1"/>
      <c r="EA113" s="1"/>
      <c r="EB113" s="1"/>
      <c r="EC113" s="1" t="s">
        <v>111</v>
      </c>
      <c r="ED113" s="1" t="s">
        <v>112</v>
      </c>
      <c r="EE113" s="1">
        <v>1</v>
      </c>
      <c r="EF113" s="1">
        <v>1</v>
      </c>
      <c r="EG113" s="1" t="s">
        <v>113</v>
      </c>
      <c r="EH113" s="1" t="s">
        <v>114</v>
      </c>
      <c r="EI113" s="1" t="s">
        <v>111</v>
      </c>
      <c r="EJ113" s="1" t="s">
        <v>114</v>
      </c>
      <c r="EK113" s="1">
        <v>5</v>
      </c>
      <c r="EL113" s="1">
        <v>4</v>
      </c>
    </row>
    <row r="114" spans="1:142" x14ac:dyDescent="0.25">
      <c r="A114" s="5">
        <v>110</v>
      </c>
      <c r="B114" s="17" t="s">
        <v>326</v>
      </c>
      <c r="C114" s="1" t="s">
        <v>327</v>
      </c>
      <c r="D114" s="35">
        <v>45625</v>
      </c>
      <c r="E114" s="1">
        <v>2</v>
      </c>
      <c r="F114" s="36"/>
      <c r="G114" s="1">
        <v>1</v>
      </c>
      <c r="H114" s="1">
        <v>50</v>
      </c>
      <c r="I114" s="1">
        <v>25</v>
      </c>
      <c r="J114" s="1">
        <v>20</v>
      </c>
      <c r="K114" s="1">
        <v>0</v>
      </c>
      <c r="L114" s="1">
        <f t="shared" si="11"/>
        <v>0</v>
      </c>
      <c r="M114" s="1" t="s">
        <v>107</v>
      </c>
      <c r="N114" s="1" t="s">
        <v>120</v>
      </c>
      <c r="O114" s="1" t="s">
        <v>109</v>
      </c>
      <c r="P114" s="1" t="s">
        <v>110</v>
      </c>
      <c r="Q114" s="1" t="s">
        <v>110</v>
      </c>
      <c r="R114" s="7">
        <v>1</v>
      </c>
      <c r="S114" s="1">
        <v>5</v>
      </c>
      <c r="T114" s="1">
        <v>0.50575999999999999</v>
      </c>
      <c r="U114" s="1"/>
      <c r="V114" s="1"/>
      <c r="W114" s="1"/>
      <c r="X114" s="1"/>
      <c r="Y114" s="1"/>
      <c r="Z114" s="3">
        <v>1</v>
      </c>
      <c r="AA114" s="3">
        <v>1</v>
      </c>
      <c r="AB114" s="3"/>
      <c r="AC114" s="3"/>
      <c r="AD114" s="3">
        <v>1</v>
      </c>
      <c r="AE114" s="3">
        <v>1</v>
      </c>
      <c r="AF114" s="1"/>
      <c r="AG114" s="1"/>
      <c r="AH114" s="1"/>
      <c r="AI114" s="1"/>
      <c r="AJ114" s="1"/>
      <c r="AK114" s="1"/>
      <c r="AL114" s="1">
        <v>3</v>
      </c>
      <c r="AM114" s="1">
        <v>2</v>
      </c>
      <c r="AN114" s="7">
        <v>10</v>
      </c>
      <c r="AO114" s="7">
        <v>4</v>
      </c>
      <c r="AP114" s="7">
        <f t="shared" si="21"/>
        <v>0.26</v>
      </c>
      <c r="AQ114" s="7">
        <f t="shared" si="12"/>
        <v>23.076923076923077</v>
      </c>
      <c r="AR114" s="7">
        <f t="shared" si="13"/>
        <v>0.25</v>
      </c>
      <c r="AS114" s="7">
        <f t="shared" si="14"/>
        <v>0.25</v>
      </c>
      <c r="AT114" s="7">
        <f t="shared" si="15"/>
        <v>0</v>
      </c>
      <c r="AU114" s="7">
        <f t="shared" si="16"/>
        <v>0</v>
      </c>
      <c r="AV114" s="7">
        <f t="shared" si="17"/>
        <v>11.538461538461538</v>
      </c>
      <c r="AW114" s="7">
        <f t="shared" si="18"/>
        <v>11.538461538461538</v>
      </c>
      <c r="AX114" s="7">
        <f t="shared" si="19"/>
        <v>23.076923076923077</v>
      </c>
      <c r="AY114" s="7">
        <v>0.25</v>
      </c>
      <c r="AZ114" s="18">
        <v>18.75</v>
      </c>
      <c r="BA114" s="18">
        <v>75</v>
      </c>
      <c r="BB114" s="7">
        <v>0.5</v>
      </c>
      <c r="BC114" s="7">
        <v>105</v>
      </c>
      <c r="BD114" s="7">
        <f t="shared" si="20"/>
        <v>26.25</v>
      </c>
      <c r="BE114" s="5">
        <v>1</v>
      </c>
      <c r="BF114" s="1">
        <v>750</v>
      </c>
      <c r="BG114" s="7">
        <v>6010</v>
      </c>
      <c r="BH114" s="7">
        <v>30000</v>
      </c>
      <c r="BI114" s="7">
        <v>800</v>
      </c>
      <c r="BJ114" s="7">
        <v>16</v>
      </c>
      <c r="BK114" s="1"/>
      <c r="BL114" s="1"/>
      <c r="BM114" s="1">
        <v>1</v>
      </c>
      <c r="BN114" s="1"/>
      <c r="BO114" s="1"/>
      <c r="BP114" s="1">
        <v>1</v>
      </c>
      <c r="BQ114" s="1">
        <v>1</v>
      </c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>
        <v>1</v>
      </c>
      <c r="CM114" s="1"/>
      <c r="CN114" s="1"/>
      <c r="CO114" s="1"/>
      <c r="CP114" s="1"/>
      <c r="CQ114" s="1"/>
      <c r="CR114" s="1"/>
      <c r="CS114" s="1"/>
      <c r="CT114" s="1"/>
      <c r="CU114" s="7">
        <v>2</v>
      </c>
      <c r="CV114" s="7">
        <v>2</v>
      </c>
      <c r="CW114" s="7">
        <v>0</v>
      </c>
      <c r="CX114" s="7">
        <v>8</v>
      </c>
      <c r="CY114" s="1">
        <v>4</v>
      </c>
      <c r="CZ114" s="1"/>
      <c r="DA114" s="7">
        <v>1</v>
      </c>
      <c r="DB114" s="1"/>
      <c r="DC114" s="1">
        <v>1</v>
      </c>
      <c r="DD114" s="1"/>
      <c r="DE114" s="1"/>
      <c r="DF114" s="1">
        <v>1</v>
      </c>
      <c r="DG114" s="1"/>
      <c r="DH114" s="1"/>
      <c r="DI114" s="1"/>
      <c r="DJ114" s="1">
        <v>1</v>
      </c>
      <c r="DK114" s="1"/>
      <c r="DL114" s="1"/>
      <c r="DM114" s="1">
        <v>1</v>
      </c>
      <c r="DN114" s="1"/>
      <c r="DO114" s="1">
        <v>1</v>
      </c>
      <c r="DP114" s="1"/>
      <c r="DQ114" s="1">
        <v>1</v>
      </c>
      <c r="DR114" s="1"/>
      <c r="DS114" s="1"/>
      <c r="DT114" s="7">
        <v>3</v>
      </c>
      <c r="DU114" s="7">
        <v>1</v>
      </c>
      <c r="DV114" s="7">
        <v>100200</v>
      </c>
      <c r="DW114" s="1"/>
      <c r="DX114" s="7">
        <v>800</v>
      </c>
      <c r="DY114" s="7">
        <v>1300</v>
      </c>
      <c r="DZ114" s="1"/>
      <c r="EA114" s="1"/>
      <c r="EB114" s="1"/>
      <c r="EC114" s="1" t="s">
        <v>111</v>
      </c>
      <c r="ED114" s="1" t="s">
        <v>112</v>
      </c>
      <c r="EE114" s="1">
        <v>1</v>
      </c>
      <c r="EF114" s="1">
        <v>1</v>
      </c>
      <c r="EG114" s="1" t="s">
        <v>113</v>
      </c>
      <c r="EH114" s="1" t="s">
        <v>114</v>
      </c>
      <c r="EI114" s="1" t="s">
        <v>111</v>
      </c>
      <c r="EJ114" s="1" t="s">
        <v>114</v>
      </c>
      <c r="EK114" s="1">
        <v>5</v>
      </c>
      <c r="EL114" s="1">
        <v>5</v>
      </c>
    </row>
    <row r="115" spans="1:142" x14ac:dyDescent="0.25">
      <c r="A115" s="5">
        <v>111</v>
      </c>
      <c r="B115" s="17" t="s">
        <v>328</v>
      </c>
      <c r="C115" s="1" t="s">
        <v>329</v>
      </c>
      <c r="D115" s="35">
        <v>45625</v>
      </c>
      <c r="E115" s="1">
        <v>2</v>
      </c>
      <c r="F115" s="36"/>
      <c r="G115" s="1">
        <v>1</v>
      </c>
      <c r="H115" s="1">
        <v>55</v>
      </c>
      <c r="I115" s="1">
        <v>15</v>
      </c>
      <c r="J115" s="1">
        <v>15</v>
      </c>
      <c r="K115" s="1">
        <v>0</v>
      </c>
      <c r="L115" s="1">
        <f t="shared" si="11"/>
        <v>0</v>
      </c>
      <c r="M115" s="1" t="s">
        <v>107</v>
      </c>
      <c r="N115" s="1" t="s">
        <v>120</v>
      </c>
      <c r="O115" s="1" t="s">
        <v>109</v>
      </c>
      <c r="P115" s="1" t="s">
        <v>110</v>
      </c>
      <c r="Q115" s="1" t="s">
        <v>110</v>
      </c>
      <c r="R115" s="7">
        <v>3</v>
      </c>
      <c r="S115" s="1">
        <v>5</v>
      </c>
      <c r="T115" s="1">
        <v>0.25287999999999999</v>
      </c>
      <c r="U115" s="1"/>
      <c r="V115" s="1"/>
      <c r="W115" s="1"/>
      <c r="X115" s="1"/>
      <c r="Y115" s="1"/>
      <c r="Z115" s="3"/>
      <c r="AA115" s="3">
        <v>2</v>
      </c>
      <c r="AB115" s="3">
        <v>1</v>
      </c>
      <c r="AC115" s="3">
        <v>1</v>
      </c>
      <c r="AD115" s="3"/>
      <c r="AE115" s="3"/>
      <c r="AF115" s="1"/>
      <c r="AG115" s="1"/>
      <c r="AH115" s="1"/>
      <c r="AI115" s="1"/>
      <c r="AJ115" s="1"/>
      <c r="AK115" s="1"/>
      <c r="AL115" s="1">
        <v>3</v>
      </c>
      <c r="AM115" s="1"/>
      <c r="AN115" s="7">
        <v>11</v>
      </c>
      <c r="AO115" s="7">
        <v>4</v>
      </c>
      <c r="AP115" s="7">
        <f t="shared" si="21"/>
        <v>0.12</v>
      </c>
      <c r="AQ115" s="7">
        <f t="shared" si="12"/>
        <v>50</v>
      </c>
      <c r="AR115" s="7">
        <f t="shared" si="13"/>
        <v>0</v>
      </c>
      <c r="AS115" s="7">
        <f t="shared" si="14"/>
        <v>0.5</v>
      </c>
      <c r="AT115" s="7">
        <f t="shared" si="15"/>
        <v>25</v>
      </c>
      <c r="AU115" s="7">
        <f t="shared" si="16"/>
        <v>25</v>
      </c>
      <c r="AV115" s="7">
        <f t="shared" si="17"/>
        <v>0</v>
      </c>
      <c r="AW115" s="7">
        <f t="shared" si="18"/>
        <v>0</v>
      </c>
      <c r="AX115" s="7">
        <f t="shared" si="19"/>
        <v>75</v>
      </c>
      <c r="AY115" s="7">
        <v>0.5</v>
      </c>
      <c r="AZ115" s="18">
        <v>8.25</v>
      </c>
      <c r="BA115" s="18">
        <v>33</v>
      </c>
      <c r="BB115" s="7">
        <v>0</v>
      </c>
      <c r="BC115" s="7">
        <v>54</v>
      </c>
      <c r="BD115" s="7">
        <f t="shared" si="20"/>
        <v>13.5</v>
      </c>
      <c r="BE115" s="5">
        <v>0</v>
      </c>
      <c r="BF115" s="1">
        <v>0</v>
      </c>
      <c r="BG115" s="7">
        <v>3900</v>
      </c>
      <c r="BH115" s="7">
        <v>30000</v>
      </c>
      <c r="BI115" s="7">
        <v>800</v>
      </c>
      <c r="BJ115" s="7">
        <v>16</v>
      </c>
      <c r="BK115" s="1"/>
      <c r="BL115" s="1"/>
      <c r="BM115" s="1"/>
      <c r="BN115" s="1"/>
      <c r="BO115" s="1"/>
      <c r="BP115" s="1"/>
      <c r="BQ115" s="1"/>
      <c r="BR115" s="1">
        <v>1</v>
      </c>
      <c r="BS115" s="1"/>
      <c r="BT115" s="1"/>
      <c r="BU115" s="1">
        <v>1</v>
      </c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7">
        <v>2</v>
      </c>
      <c r="CV115" s="7">
        <v>2</v>
      </c>
      <c r="CW115" s="7">
        <v>0</v>
      </c>
      <c r="CX115" s="7">
        <v>8</v>
      </c>
      <c r="CY115" s="1">
        <v>4</v>
      </c>
      <c r="CZ115" s="1"/>
      <c r="DA115" s="7">
        <v>1</v>
      </c>
      <c r="DB115" s="1"/>
      <c r="DC115" s="1"/>
      <c r="DD115" s="1"/>
      <c r="DE115" s="1"/>
      <c r="DF115" s="1">
        <v>1</v>
      </c>
      <c r="DG115" s="1"/>
      <c r="DH115" s="1"/>
      <c r="DI115" s="1"/>
      <c r="DJ115" s="1">
        <v>1</v>
      </c>
      <c r="DK115" s="1"/>
      <c r="DL115" s="1"/>
      <c r="DM115" s="1">
        <v>1</v>
      </c>
      <c r="DN115" s="1"/>
      <c r="DO115" s="1"/>
      <c r="DP115" s="1"/>
      <c r="DQ115" s="1">
        <v>1</v>
      </c>
      <c r="DR115" s="1"/>
      <c r="DS115" s="1"/>
      <c r="DT115" s="7">
        <v>3</v>
      </c>
      <c r="DU115" s="7">
        <v>2</v>
      </c>
      <c r="DV115" s="1"/>
      <c r="DW115" s="1"/>
      <c r="DX115" s="7">
        <v>700</v>
      </c>
      <c r="DY115" s="7">
        <v>1400</v>
      </c>
      <c r="DZ115" s="1"/>
      <c r="EA115" s="1"/>
      <c r="EB115" s="1"/>
      <c r="EC115" s="1" t="s">
        <v>111</v>
      </c>
      <c r="ED115" s="1" t="s">
        <v>112</v>
      </c>
      <c r="EE115" s="1">
        <v>1</v>
      </c>
      <c r="EF115" s="1">
        <v>1</v>
      </c>
      <c r="EG115" s="1" t="s">
        <v>113</v>
      </c>
      <c r="EH115" s="1" t="s">
        <v>114</v>
      </c>
      <c r="EI115" s="1" t="s">
        <v>111</v>
      </c>
      <c r="EJ115" s="1" t="s">
        <v>114</v>
      </c>
      <c r="EK115" s="1">
        <v>6</v>
      </c>
      <c r="EL115" s="1">
        <v>5</v>
      </c>
    </row>
    <row r="116" spans="1:142" x14ac:dyDescent="0.25">
      <c r="A116" s="5">
        <v>112</v>
      </c>
      <c r="B116" s="17" t="s">
        <v>330</v>
      </c>
      <c r="C116" s="1" t="s">
        <v>331</v>
      </c>
      <c r="D116" s="35">
        <v>45625</v>
      </c>
      <c r="E116" s="1">
        <v>2</v>
      </c>
      <c r="F116" s="36">
        <v>1</v>
      </c>
      <c r="G116" s="1">
        <v>1</v>
      </c>
      <c r="H116" s="1">
        <v>60</v>
      </c>
      <c r="I116" s="1">
        <v>40</v>
      </c>
      <c r="J116" s="1">
        <v>10</v>
      </c>
      <c r="K116" s="1">
        <v>0</v>
      </c>
      <c r="L116" s="1">
        <f t="shared" si="11"/>
        <v>0</v>
      </c>
      <c r="M116" s="1" t="s">
        <v>107</v>
      </c>
      <c r="N116" s="1" t="s">
        <v>120</v>
      </c>
      <c r="O116" s="1" t="s">
        <v>109</v>
      </c>
      <c r="P116" s="1" t="s">
        <v>110</v>
      </c>
      <c r="Q116" s="1" t="s">
        <v>110</v>
      </c>
      <c r="R116" s="7">
        <v>3</v>
      </c>
      <c r="S116" s="1">
        <v>2</v>
      </c>
      <c r="T116" s="1">
        <v>0.25287999999999999</v>
      </c>
      <c r="U116" s="1"/>
      <c r="V116" s="1"/>
      <c r="W116" s="1"/>
      <c r="X116" s="1"/>
      <c r="Y116" s="1"/>
      <c r="Z116" s="3"/>
      <c r="AA116" s="3">
        <v>2</v>
      </c>
      <c r="AB116" s="3"/>
      <c r="AC116" s="3">
        <v>1</v>
      </c>
      <c r="AD116" s="3">
        <v>1</v>
      </c>
      <c r="AE116" s="3">
        <v>2</v>
      </c>
      <c r="AF116" s="1"/>
      <c r="AG116" s="1"/>
      <c r="AH116" s="1"/>
      <c r="AI116" s="1"/>
      <c r="AJ116" s="1"/>
      <c r="AK116" s="1"/>
      <c r="AL116" s="1">
        <v>2</v>
      </c>
      <c r="AM116" s="1">
        <v>6</v>
      </c>
      <c r="AN116" s="7">
        <v>9</v>
      </c>
      <c r="AO116" s="7">
        <v>6</v>
      </c>
      <c r="AP116" s="7">
        <f t="shared" si="21"/>
        <v>0.39</v>
      </c>
      <c r="AQ116" s="7">
        <f t="shared" si="12"/>
        <v>15.384615384615383</v>
      </c>
      <c r="AR116" s="7">
        <f t="shared" si="13"/>
        <v>0</v>
      </c>
      <c r="AS116" s="7">
        <f t="shared" si="14"/>
        <v>0.33333333333333331</v>
      </c>
      <c r="AT116" s="7">
        <f t="shared" si="15"/>
        <v>0</v>
      </c>
      <c r="AU116" s="7">
        <f t="shared" si="16"/>
        <v>7.6923076923076916</v>
      </c>
      <c r="AV116" s="7">
        <f t="shared" si="17"/>
        <v>7.6923076923076916</v>
      </c>
      <c r="AW116" s="7">
        <f t="shared" si="18"/>
        <v>15.384615384615383</v>
      </c>
      <c r="AX116" s="7">
        <f t="shared" si="19"/>
        <v>38.46153846153846</v>
      </c>
      <c r="AY116" s="7">
        <v>0.33329999999999999</v>
      </c>
      <c r="AZ116" s="18">
        <v>16</v>
      </c>
      <c r="BA116" s="18">
        <v>96</v>
      </c>
      <c r="BB116" s="7">
        <v>0</v>
      </c>
      <c r="BC116" s="7">
        <v>133</v>
      </c>
      <c r="BD116" s="7">
        <f t="shared" si="20"/>
        <v>22.166666666666668</v>
      </c>
      <c r="BE116" s="5">
        <v>2</v>
      </c>
      <c r="BF116" s="1">
        <v>600</v>
      </c>
      <c r="BG116" s="7">
        <v>8580</v>
      </c>
      <c r="BH116" s="7">
        <v>15000</v>
      </c>
      <c r="BI116" s="7">
        <v>1300</v>
      </c>
      <c r="BJ116" s="7">
        <v>26</v>
      </c>
      <c r="BK116" s="1"/>
      <c r="BL116" s="1"/>
      <c r="BM116" s="1">
        <v>1</v>
      </c>
      <c r="BN116" s="1"/>
      <c r="BO116" s="1"/>
      <c r="BP116" s="1">
        <v>2</v>
      </c>
      <c r="BQ116" s="1"/>
      <c r="BR116" s="1"/>
      <c r="BS116" s="1"/>
      <c r="BT116" s="1"/>
      <c r="BU116" s="1">
        <v>1</v>
      </c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>
        <v>1</v>
      </c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7">
        <v>2</v>
      </c>
      <c r="CV116" s="7">
        <v>2</v>
      </c>
      <c r="CW116" s="7">
        <v>0</v>
      </c>
      <c r="CX116" s="7">
        <v>8</v>
      </c>
      <c r="CY116" s="1">
        <v>2</v>
      </c>
      <c r="CZ116" s="1"/>
      <c r="DA116" s="7">
        <v>1</v>
      </c>
      <c r="DB116" s="1"/>
      <c r="DC116" s="1"/>
      <c r="DD116" s="1"/>
      <c r="DE116" s="1"/>
      <c r="DF116" s="1">
        <v>1</v>
      </c>
      <c r="DG116" s="1"/>
      <c r="DH116" s="1"/>
      <c r="DI116" s="1"/>
      <c r="DJ116" s="1">
        <v>1</v>
      </c>
      <c r="DK116" s="1"/>
      <c r="DL116" s="1"/>
      <c r="DM116" s="1">
        <v>1</v>
      </c>
      <c r="DN116" s="1"/>
      <c r="DO116" s="1"/>
      <c r="DP116" s="1"/>
      <c r="DQ116" s="1">
        <v>1</v>
      </c>
      <c r="DR116" s="1"/>
      <c r="DS116" s="1"/>
      <c r="DT116" s="7">
        <v>3</v>
      </c>
      <c r="DU116" s="7">
        <v>3</v>
      </c>
      <c r="DV116" s="1"/>
      <c r="DW116" s="1"/>
      <c r="DX116" s="7">
        <v>1000</v>
      </c>
      <c r="DY116" s="7">
        <v>100</v>
      </c>
      <c r="DZ116" s="1"/>
      <c r="EA116" s="1"/>
      <c r="EB116" s="1"/>
      <c r="EC116" s="1" t="s">
        <v>111</v>
      </c>
      <c r="ED116" s="1" t="s">
        <v>112</v>
      </c>
      <c r="EE116" s="1">
        <v>1</v>
      </c>
      <c r="EF116" s="1">
        <v>1</v>
      </c>
      <c r="EG116" s="1" t="s">
        <v>113</v>
      </c>
      <c r="EH116" s="1" t="s">
        <v>114</v>
      </c>
      <c r="EI116" s="1" t="s">
        <v>111</v>
      </c>
      <c r="EJ116" s="1" t="s">
        <v>114</v>
      </c>
      <c r="EK116" s="1">
        <v>6</v>
      </c>
      <c r="EL116" s="1">
        <v>5</v>
      </c>
    </row>
    <row r="117" spans="1:142" x14ac:dyDescent="0.25">
      <c r="A117" s="5">
        <v>113</v>
      </c>
      <c r="B117" s="17" t="s">
        <v>324</v>
      </c>
      <c r="C117" s="1" t="s">
        <v>325</v>
      </c>
      <c r="D117" s="35">
        <v>45625</v>
      </c>
      <c r="E117" s="1">
        <v>2</v>
      </c>
      <c r="F117" s="36"/>
      <c r="G117" s="1">
        <v>1</v>
      </c>
      <c r="H117" s="1">
        <v>44</v>
      </c>
      <c r="I117" s="1">
        <v>22</v>
      </c>
      <c r="J117" s="1">
        <v>12</v>
      </c>
      <c r="K117" s="1">
        <v>5</v>
      </c>
      <c r="L117" s="1">
        <f t="shared" si="11"/>
        <v>1</v>
      </c>
      <c r="M117" s="1" t="s">
        <v>107</v>
      </c>
      <c r="N117" s="1" t="s">
        <v>120</v>
      </c>
      <c r="O117" s="1" t="s">
        <v>109</v>
      </c>
      <c r="P117" s="1" t="s">
        <v>110</v>
      </c>
      <c r="Q117" s="1" t="s">
        <v>110</v>
      </c>
      <c r="R117" s="7">
        <v>3</v>
      </c>
      <c r="S117" s="1">
        <v>6</v>
      </c>
      <c r="T117" s="1">
        <v>0.25287999999999999</v>
      </c>
      <c r="U117" s="1"/>
      <c r="V117" s="1"/>
      <c r="W117" s="1"/>
      <c r="X117" s="1"/>
      <c r="Y117" s="1"/>
      <c r="Z117" s="3"/>
      <c r="AA117" s="3">
        <v>2</v>
      </c>
      <c r="AB117" s="3"/>
      <c r="AC117" s="3">
        <v>3</v>
      </c>
      <c r="AD117" s="3"/>
      <c r="AE117" s="3"/>
      <c r="AF117" s="1"/>
      <c r="AG117" s="1"/>
      <c r="AH117" s="1"/>
      <c r="AI117" s="1"/>
      <c r="AJ117" s="1"/>
      <c r="AK117" s="1"/>
      <c r="AL117" s="1">
        <v>3</v>
      </c>
      <c r="AM117" s="1">
        <v>1</v>
      </c>
      <c r="AN117" s="7">
        <v>10</v>
      </c>
      <c r="AO117" s="7">
        <v>5</v>
      </c>
      <c r="AP117" s="7">
        <f t="shared" si="21"/>
        <v>0.15</v>
      </c>
      <c r="AQ117" s="7">
        <f t="shared" si="12"/>
        <v>40</v>
      </c>
      <c r="AR117" s="7">
        <f t="shared" si="13"/>
        <v>0</v>
      </c>
      <c r="AS117" s="7">
        <f t="shared" si="14"/>
        <v>0.4</v>
      </c>
      <c r="AT117" s="7">
        <f t="shared" si="15"/>
        <v>0</v>
      </c>
      <c r="AU117" s="7">
        <f t="shared" si="16"/>
        <v>60</v>
      </c>
      <c r="AV117" s="7">
        <f t="shared" si="17"/>
        <v>0</v>
      </c>
      <c r="AW117" s="7">
        <f t="shared" si="18"/>
        <v>0</v>
      </c>
      <c r="AX117" s="7">
        <f t="shared" si="19"/>
        <v>100</v>
      </c>
      <c r="AY117" s="7">
        <v>0.4</v>
      </c>
      <c r="AZ117" s="18">
        <v>8</v>
      </c>
      <c r="BA117" s="18">
        <v>40</v>
      </c>
      <c r="BB117" s="7">
        <v>0</v>
      </c>
      <c r="BC117" s="7">
        <v>66</v>
      </c>
      <c r="BD117" s="7">
        <f t="shared" si="20"/>
        <v>13.2</v>
      </c>
      <c r="BE117" s="5">
        <v>0</v>
      </c>
      <c r="BF117" s="1">
        <v>0</v>
      </c>
      <c r="BG117" s="7">
        <v>4210</v>
      </c>
      <c r="BH117" s="7">
        <v>15000</v>
      </c>
      <c r="BI117" s="7">
        <v>1000</v>
      </c>
      <c r="BJ117" s="7">
        <v>20</v>
      </c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>
        <v>3</v>
      </c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7">
        <v>2</v>
      </c>
      <c r="CV117" s="7">
        <v>2</v>
      </c>
      <c r="CW117" s="7">
        <v>0</v>
      </c>
      <c r="CX117" s="7">
        <v>8</v>
      </c>
      <c r="CY117" s="1">
        <v>2</v>
      </c>
      <c r="CZ117" s="1"/>
      <c r="DA117" s="7">
        <v>1</v>
      </c>
      <c r="DB117" s="1"/>
      <c r="DC117" s="1"/>
      <c r="DD117" s="1"/>
      <c r="DE117" s="1"/>
      <c r="DF117" s="1">
        <v>1</v>
      </c>
      <c r="DG117" s="1"/>
      <c r="DH117" s="1"/>
      <c r="DI117" s="1"/>
      <c r="DJ117" s="1">
        <v>1</v>
      </c>
      <c r="DK117" s="1"/>
      <c r="DL117" s="1"/>
      <c r="DM117" s="1">
        <v>1</v>
      </c>
      <c r="DN117" s="1"/>
      <c r="DO117" s="1"/>
      <c r="DP117" s="1"/>
      <c r="DQ117" s="1">
        <v>1</v>
      </c>
      <c r="DR117" s="1"/>
      <c r="DS117" s="1"/>
      <c r="DT117" s="7">
        <v>3</v>
      </c>
      <c r="DU117" s="7">
        <v>1</v>
      </c>
      <c r="DV117" s="7">
        <v>105200</v>
      </c>
      <c r="DW117" s="1"/>
      <c r="DX117" s="7">
        <v>800</v>
      </c>
      <c r="DY117" s="7">
        <v>1100</v>
      </c>
      <c r="DZ117" s="1"/>
      <c r="EA117" s="1"/>
      <c r="EB117" s="1"/>
      <c r="EC117" s="1" t="s">
        <v>111</v>
      </c>
      <c r="ED117" s="1" t="s">
        <v>112</v>
      </c>
      <c r="EE117" s="1">
        <v>1</v>
      </c>
      <c r="EF117" s="1">
        <v>1</v>
      </c>
      <c r="EG117" s="1" t="s">
        <v>113</v>
      </c>
      <c r="EH117" s="1" t="s">
        <v>114</v>
      </c>
      <c r="EI117" s="1" t="s">
        <v>111</v>
      </c>
      <c r="EJ117" s="1" t="s">
        <v>114</v>
      </c>
      <c r="EK117" s="1">
        <v>5</v>
      </c>
      <c r="EL117" s="1">
        <v>4</v>
      </c>
    </row>
    <row r="118" spans="1:142" x14ac:dyDescent="0.25">
      <c r="A118" s="5">
        <v>114</v>
      </c>
      <c r="B118" s="17" t="s">
        <v>332</v>
      </c>
      <c r="C118" s="1" t="s">
        <v>333</v>
      </c>
      <c r="D118" s="35">
        <v>45625</v>
      </c>
      <c r="E118" s="1">
        <v>2</v>
      </c>
      <c r="F118" s="36"/>
      <c r="G118" s="1">
        <v>1</v>
      </c>
      <c r="H118" s="1">
        <v>59</v>
      </c>
      <c r="I118" s="1">
        <v>25</v>
      </c>
      <c r="J118" s="1">
        <v>8</v>
      </c>
      <c r="K118" s="1">
        <v>0</v>
      </c>
      <c r="L118" s="1">
        <f t="shared" si="11"/>
        <v>0</v>
      </c>
      <c r="M118" s="1" t="s">
        <v>107</v>
      </c>
      <c r="N118" s="1" t="s">
        <v>120</v>
      </c>
      <c r="O118" s="1" t="s">
        <v>109</v>
      </c>
      <c r="P118" s="1" t="s">
        <v>110</v>
      </c>
      <c r="Q118" s="1" t="s">
        <v>110</v>
      </c>
      <c r="R118" s="7">
        <v>3</v>
      </c>
      <c r="S118" s="1">
        <v>7</v>
      </c>
      <c r="T118" s="1">
        <v>0</v>
      </c>
      <c r="U118" s="1">
        <v>1</v>
      </c>
      <c r="V118" s="1"/>
      <c r="W118" s="1"/>
      <c r="X118" s="1"/>
      <c r="Y118" s="1">
        <v>1</v>
      </c>
      <c r="Z118" s="3"/>
      <c r="AA118" s="3">
        <v>2</v>
      </c>
      <c r="AB118" s="3">
        <v>2</v>
      </c>
      <c r="AC118" s="3"/>
      <c r="AD118" s="3"/>
      <c r="AE118" s="3"/>
      <c r="AF118" s="1"/>
      <c r="AG118" s="1"/>
      <c r="AH118" s="1"/>
      <c r="AI118" s="1"/>
      <c r="AJ118" s="1"/>
      <c r="AK118" s="1"/>
      <c r="AL118" s="1"/>
      <c r="AM118" s="1"/>
      <c r="AN118" s="7">
        <v>9</v>
      </c>
      <c r="AO118" s="7">
        <v>4</v>
      </c>
      <c r="AP118" s="7">
        <f t="shared" si="21"/>
        <v>0.12</v>
      </c>
      <c r="AQ118" s="7">
        <f t="shared" si="12"/>
        <v>50</v>
      </c>
      <c r="AR118" s="7">
        <f t="shared" si="13"/>
        <v>0</v>
      </c>
      <c r="AS118" s="7">
        <f t="shared" si="14"/>
        <v>0.5</v>
      </c>
      <c r="AT118" s="7">
        <f t="shared" si="15"/>
        <v>50</v>
      </c>
      <c r="AU118" s="7">
        <f t="shared" si="16"/>
        <v>0</v>
      </c>
      <c r="AV118" s="7">
        <f t="shared" si="17"/>
        <v>0</v>
      </c>
      <c r="AW118" s="7">
        <f t="shared" si="18"/>
        <v>0</v>
      </c>
      <c r="AX118" s="7">
        <f t="shared" si="19"/>
        <v>50</v>
      </c>
      <c r="AY118" s="7">
        <v>0.5</v>
      </c>
      <c r="AZ118" s="18">
        <v>8</v>
      </c>
      <c r="BA118" s="18">
        <v>32</v>
      </c>
      <c r="BB118" s="7">
        <v>0</v>
      </c>
      <c r="BC118" s="7">
        <v>58</v>
      </c>
      <c r="BD118" s="7">
        <f t="shared" si="20"/>
        <v>14.5</v>
      </c>
      <c r="BE118" s="5">
        <v>0</v>
      </c>
      <c r="BF118" s="1">
        <v>0</v>
      </c>
      <c r="BG118" s="7">
        <v>3420</v>
      </c>
      <c r="BH118" s="7">
        <v>30000</v>
      </c>
      <c r="BI118" s="7">
        <v>800</v>
      </c>
      <c r="BJ118" s="7">
        <v>16</v>
      </c>
      <c r="BK118" s="1"/>
      <c r="BL118" s="1"/>
      <c r="BM118" s="1"/>
      <c r="BN118" s="1"/>
      <c r="BO118" s="1"/>
      <c r="BP118" s="1"/>
      <c r="BQ118" s="1"/>
      <c r="BR118" s="1">
        <v>2</v>
      </c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7">
        <v>2</v>
      </c>
      <c r="CV118" s="7">
        <v>2</v>
      </c>
      <c r="CW118" s="7">
        <v>0</v>
      </c>
      <c r="CX118" s="7">
        <v>8</v>
      </c>
      <c r="CY118" s="1">
        <v>4</v>
      </c>
      <c r="CZ118" s="1"/>
      <c r="DA118" s="7">
        <v>1</v>
      </c>
      <c r="DB118" s="1"/>
      <c r="DC118" s="1">
        <v>1</v>
      </c>
      <c r="DD118" s="1"/>
      <c r="DE118" s="1"/>
      <c r="DF118" s="1">
        <v>1</v>
      </c>
      <c r="DG118" s="1"/>
      <c r="DH118" s="1"/>
      <c r="DI118" s="1"/>
      <c r="DJ118" s="1">
        <v>1</v>
      </c>
      <c r="DK118" s="1"/>
      <c r="DL118" s="1"/>
      <c r="DM118" s="1">
        <v>1</v>
      </c>
      <c r="DN118" s="1"/>
      <c r="DO118" s="1">
        <v>1</v>
      </c>
      <c r="DP118" s="1"/>
      <c r="DQ118" s="1">
        <v>1</v>
      </c>
      <c r="DR118" s="1"/>
      <c r="DS118" s="1"/>
      <c r="DT118" s="7">
        <v>3</v>
      </c>
      <c r="DU118" s="7">
        <v>1</v>
      </c>
      <c r="DV118" s="7">
        <v>113900</v>
      </c>
      <c r="DW118" s="1"/>
      <c r="DX118" s="7">
        <v>800</v>
      </c>
      <c r="DY118" s="7">
        <v>400</v>
      </c>
      <c r="DZ118" s="1"/>
      <c r="EA118" s="1"/>
      <c r="EB118" s="1"/>
      <c r="EC118" s="1" t="s">
        <v>111</v>
      </c>
      <c r="ED118" s="1" t="s">
        <v>112</v>
      </c>
      <c r="EE118" s="1">
        <v>1</v>
      </c>
      <c r="EF118" s="1">
        <v>1</v>
      </c>
      <c r="EG118" s="1" t="s">
        <v>113</v>
      </c>
      <c r="EH118" s="1" t="s">
        <v>114</v>
      </c>
      <c r="EI118" s="1" t="s">
        <v>111</v>
      </c>
      <c r="EJ118" s="1" t="s">
        <v>114</v>
      </c>
      <c r="EK118" s="1">
        <v>6</v>
      </c>
      <c r="EL118" s="1">
        <v>5</v>
      </c>
    </row>
    <row r="119" spans="1:142" x14ac:dyDescent="0.25">
      <c r="A119" s="5">
        <v>115</v>
      </c>
      <c r="B119" s="17" t="s">
        <v>303</v>
      </c>
      <c r="C119" s="1" t="s">
        <v>334</v>
      </c>
      <c r="D119" s="35">
        <v>45625</v>
      </c>
      <c r="E119" s="1">
        <v>2</v>
      </c>
      <c r="F119" s="36"/>
      <c r="G119" s="1">
        <v>1</v>
      </c>
      <c r="H119" s="1">
        <v>34</v>
      </c>
      <c r="I119" s="1">
        <v>13</v>
      </c>
      <c r="J119" s="1">
        <v>1</v>
      </c>
      <c r="K119" s="1">
        <v>12</v>
      </c>
      <c r="L119" s="1">
        <f t="shared" si="11"/>
        <v>4</v>
      </c>
      <c r="M119" s="1" t="s">
        <v>107</v>
      </c>
      <c r="N119" s="1" t="s">
        <v>308</v>
      </c>
      <c r="O119" s="1" t="s">
        <v>109</v>
      </c>
      <c r="P119" s="1" t="s">
        <v>110</v>
      </c>
      <c r="Q119" s="1" t="s">
        <v>110</v>
      </c>
      <c r="R119" s="7">
        <v>3</v>
      </c>
      <c r="S119" s="1">
        <v>3</v>
      </c>
      <c r="T119" s="1">
        <v>5.0576000000000003E-2</v>
      </c>
      <c r="U119" s="1"/>
      <c r="V119" s="1"/>
      <c r="W119" s="1"/>
      <c r="X119" s="1"/>
      <c r="Y119" s="1"/>
      <c r="Z119" s="3"/>
      <c r="AA119" s="3">
        <v>3</v>
      </c>
      <c r="AB119" s="3"/>
      <c r="AC119" s="3"/>
      <c r="AD119" s="3">
        <v>1</v>
      </c>
      <c r="AE119" s="3">
        <v>2</v>
      </c>
      <c r="AF119" s="1"/>
      <c r="AG119" s="1"/>
      <c r="AH119" s="1"/>
      <c r="AI119" s="1"/>
      <c r="AJ119" s="1"/>
      <c r="AK119" s="1"/>
      <c r="AL119" s="1"/>
      <c r="AM119" s="1"/>
      <c r="AN119" s="7">
        <v>7</v>
      </c>
      <c r="AO119" s="7">
        <v>6</v>
      </c>
      <c r="AP119" s="7">
        <f t="shared" si="21"/>
        <v>0.39</v>
      </c>
      <c r="AQ119" s="7">
        <f t="shared" si="12"/>
        <v>23.076923076923077</v>
      </c>
      <c r="AR119" s="7">
        <f t="shared" si="13"/>
        <v>0</v>
      </c>
      <c r="AS119" s="7">
        <f t="shared" si="14"/>
        <v>0.5</v>
      </c>
      <c r="AT119" s="7">
        <f t="shared" si="15"/>
        <v>0</v>
      </c>
      <c r="AU119" s="7">
        <f t="shared" si="16"/>
        <v>0</v>
      </c>
      <c r="AV119" s="7">
        <f t="shared" si="17"/>
        <v>7.6923076923076916</v>
      </c>
      <c r="AW119" s="7">
        <f t="shared" si="18"/>
        <v>15.384615384615383</v>
      </c>
      <c r="AX119" s="7">
        <f t="shared" si="19"/>
        <v>38.46153846153846</v>
      </c>
      <c r="AY119" s="7">
        <v>0.33333333330000003</v>
      </c>
      <c r="AZ119" s="18">
        <v>18</v>
      </c>
      <c r="BA119" s="18">
        <v>108</v>
      </c>
      <c r="BB119" s="7">
        <v>0.25</v>
      </c>
      <c r="BC119" s="7">
        <v>141</v>
      </c>
      <c r="BD119" s="7">
        <f t="shared" si="20"/>
        <v>23.5</v>
      </c>
      <c r="BE119" s="5">
        <v>2</v>
      </c>
      <c r="BF119" s="1">
        <v>700</v>
      </c>
      <c r="BG119" s="7">
        <v>9870</v>
      </c>
      <c r="BH119" s="7">
        <v>15000</v>
      </c>
      <c r="BI119" s="7">
        <v>1300</v>
      </c>
      <c r="BJ119" s="7">
        <v>26</v>
      </c>
      <c r="BK119" s="1"/>
      <c r="BL119" s="1"/>
      <c r="BM119" s="1">
        <v>1</v>
      </c>
      <c r="BN119" s="1"/>
      <c r="BO119" s="1"/>
      <c r="BP119" s="1">
        <v>2</v>
      </c>
      <c r="BQ119" s="1"/>
      <c r="BR119" s="1"/>
      <c r="BS119" s="1"/>
      <c r="BT119" s="1">
        <v>1</v>
      </c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7">
        <v>2</v>
      </c>
      <c r="CV119" s="7">
        <v>2</v>
      </c>
      <c r="CW119" s="7">
        <v>0</v>
      </c>
      <c r="CX119" s="7">
        <v>8</v>
      </c>
      <c r="CY119" s="1">
        <v>2</v>
      </c>
      <c r="CZ119" s="1"/>
      <c r="DA119" s="7">
        <v>1</v>
      </c>
      <c r="DB119" s="1"/>
      <c r="DC119" s="1"/>
      <c r="DD119" s="1"/>
      <c r="DE119" s="1"/>
      <c r="DF119" s="1">
        <v>1</v>
      </c>
      <c r="DG119" s="1"/>
      <c r="DH119" s="1"/>
      <c r="DI119" s="1"/>
      <c r="DJ119" s="1">
        <v>1</v>
      </c>
      <c r="DK119" s="1"/>
      <c r="DL119" s="1"/>
      <c r="DM119" s="1">
        <v>1</v>
      </c>
      <c r="DN119" s="1"/>
      <c r="DO119" s="1"/>
      <c r="DP119" s="1"/>
      <c r="DQ119" s="1">
        <v>1</v>
      </c>
      <c r="DR119" s="1"/>
      <c r="DS119" s="1"/>
      <c r="DT119" s="7">
        <v>3</v>
      </c>
      <c r="DU119" s="7">
        <v>3</v>
      </c>
      <c r="DV119" s="1"/>
      <c r="DW119" s="1"/>
      <c r="DX119" s="7">
        <v>1100</v>
      </c>
      <c r="DY119" s="7">
        <v>800</v>
      </c>
      <c r="DZ119" s="1"/>
      <c r="EA119" s="1"/>
      <c r="EB119" s="1"/>
      <c r="EC119" s="1" t="s">
        <v>111</v>
      </c>
      <c r="ED119" s="1" t="s">
        <v>112</v>
      </c>
      <c r="EE119" s="1">
        <v>1</v>
      </c>
      <c r="EF119" s="1">
        <v>1</v>
      </c>
      <c r="EG119" s="1" t="s">
        <v>113</v>
      </c>
      <c r="EH119" s="1" t="s">
        <v>114</v>
      </c>
      <c r="EI119" s="1" t="s">
        <v>111</v>
      </c>
      <c r="EJ119" s="1" t="s">
        <v>114</v>
      </c>
      <c r="EK119" s="1">
        <v>6</v>
      </c>
      <c r="EL119" s="1">
        <v>5</v>
      </c>
    </row>
    <row r="120" spans="1:142" x14ac:dyDescent="0.25">
      <c r="A120" s="5">
        <v>116</v>
      </c>
      <c r="B120" s="17" t="s">
        <v>335</v>
      </c>
      <c r="C120" s="1" t="s">
        <v>275</v>
      </c>
      <c r="D120" s="35">
        <v>45625</v>
      </c>
      <c r="E120" s="1">
        <v>2</v>
      </c>
      <c r="F120" s="36"/>
      <c r="G120" s="1">
        <v>1</v>
      </c>
      <c r="H120" s="1">
        <v>56</v>
      </c>
      <c r="I120" s="1">
        <v>20</v>
      </c>
      <c r="J120" s="1">
        <v>15</v>
      </c>
      <c r="K120" s="1">
        <v>0</v>
      </c>
      <c r="L120" s="1">
        <f t="shared" si="11"/>
        <v>0</v>
      </c>
      <c r="M120" s="1" t="s">
        <v>107</v>
      </c>
      <c r="N120" s="1" t="s">
        <v>120</v>
      </c>
      <c r="O120" s="1" t="s">
        <v>109</v>
      </c>
      <c r="P120" s="1" t="s">
        <v>110</v>
      </c>
      <c r="Q120" s="1" t="s">
        <v>110</v>
      </c>
      <c r="R120" s="7">
        <v>2</v>
      </c>
      <c r="S120" s="1">
        <v>5</v>
      </c>
      <c r="T120" s="1">
        <v>0</v>
      </c>
      <c r="U120" s="1"/>
      <c r="V120" s="1"/>
      <c r="W120" s="1"/>
      <c r="X120" s="1"/>
      <c r="Y120" s="1"/>
      <c r="Z120" s="3"/>
      <c r="AA120" s="3">
        <v>2</v>
      </c>
      <c r="AB120" s="3">
        <v>1</v>
      </c>
      <c r="AC120" s="3"/>
      <c r="AD120" s="3"/>
      <c r="AE120" s="3">
        <v>1</v>
      </c>
      <c r="AF120" s="1"/>
      <c r="AG120" s="1"/>
      <c r="AH120" s="1"/>
      <c r="AI120" s="1"/>
      <c r="AJ120" s="1"/>
      <c r="AK120" s="1"/>
      <c r="AL120" s="1"/>
      <c r="AM120" s="1"/>
      <c r="AN120" s="7">
        <v>12</v>
      </c>
      <c r="AO120" s="7">
        <v>4</v>
      </c>
      <c r="AP120" s="7">
        <f t="shared" si="21"/>
        <v>0.19</v>
      </c>
      <c r="AQ120" s="7">
        <f t="shared" si="12"/>
        <v>31.578947368421051</v>
      </c>
      <c r="AR120" s="7">
        <f t="shared" si="13"/>
        <v>0</v>
      </c>
      <c r="AS120" s="7">
        <f t="shared" si="14"/>
        <v>0.5</v>
      </c>
      <c r="AT120" s="7">
        <f t="shared" si="15"/>
        <v>15.789473684210526</v>
      </c>
      <c r="AU120" s="7">
        <f t="shared" si="16"/>
        <v>0</v>
      </c>
      <c r="AV120" s="7">
        <f t="shared" si="17"/>
        <v>0</v>
      </c>
      <c r="AW120" s="7">
        <f t="shared" si="18"/>
        <v>15.789473684210526</v>
      </c>
      <c r="AX120" s="7">
        <f t="shared" si="19"/>
        <v>47.368421052631575</v>
      </c>
      <c r="AY120" s="7">
        <v>0.5</v>
      </c>
      <c r="AZ120" s="18">
        <v>14.25</v>
      </c>
      <c r="BA120" s="18">
        <v>57</v>
      </c>
      <c r="BB120" s="7">
        <v>0</v>
      </c>
      <c r="BC120" s="7">
        <v>81</v>
      </c>
      <c r="BD120" s="7">
        <f t="shared" si="20"/>
        <v>20.25</v>
      </c>
      <c r="BE120" s="5">
        <v>1</v>
      </c>
      <c r="BF120" s="1">
        <v>800</v>
      </c>
      <c r="BG120" s="7">
        <v>5220</v>
      </c>
      <c r="BH120" s="7">
        <v>30000</v>
      </c>
      <c r="BI120" s="7">
        <v>900</v>
      </c>
      <c r="BJ120" s="7">
        <v>18</v>
      </c>
      <c r="BK120" s="1"/>
      <c r="BL120" s="1"/>
      <c r="BM120" s="1"/>
      <c r="BN120" s="1"/>
      <c r="BO120" s="1"/>
      <c r="BP120" s="1">
        <v>1</v>
      </c>
      <c r="BQ120" s="1"/>
      <c r="BR120" s="1">
        <v>1</v>
      </c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7">
        <v>2</v>
      </c>
      <c r="CV120" s="7">
        <v>2</v>
      </c>
      <c r="CW120" s="7">
        <v>0</v>
      </c>
      <c r="CX120" s="7">
        <v>8</v>
      </c>
      <c r="CY120" s="1">
        <v>4</v>
      </c>
      <c r="CZ120" s="1"/>
      <c r="DA120" s="7">
        <v>1</v>
      </c>
      <c r="DB120" s="1"/>
      <c r="DC120" s="1"/>
      <c r="DD120" s="1"/>
      <c r="DE120" s="1"/>
      <c r="DF120" s="1">
        <v>1</v>
      </c>
      <c r="DG120" s="1"/>
      <c r="DH120" s="1"/>
      <c r="DI120" s="1"/>
      <c r="DJ120" s="1">
        <v>1</v>
      </c>
      <c r="DK120" s="1"/>
      <c r="DL120" s="1"/>
      <c r="DM120" s="1">
        <v>1</v>
      </c>
      <c r="DN120" s="1"/>
      <c r="DO120" s="1"/>
      <c r="DP120" s="1"/>
      <c r="DQ120" s="1">
        <v>1</v>
      </c>
      <c r="DR120" s="1"/>
      <c r="DS120" s="1"/>
      <c r="DT120" s="7">
        <v>3</v>
      </c>
      <c r="DU120" s="7">
        <v>2</v>
      </c>
      <c r="DV120" s="1"/>
      <c r="DW120" s="1"/>
      <c r="DX120" s="7">
        <v>800</v>
      </c>
      <c r="DY120" s="7">
        <v>1200</v>
      </c>
      <c r="DZ120" s="1"/>
      <c r="EA120" s="1"/>
      <c r="EB120" s="1"/>
      <c r="EC120" s="1" t="s">
        <v>111</v>
      </c>
      <c r="ED120" s="1" t="s">
        <v>112</v>
      </c>
      <c r="EE120" s="1">
        <v>1</v>
      </c>
      <c r="EF120" s="1">
        <v>1</v>
      </c>
      <c r="EG120" s="1" t="s">
        <v>113</v>
      </c>
      <c r="EH120" s="1" t="s">
        <v>114</v>
      </c>
      <c r="EI120" s="1" t="s">
        <v>111</v>
      </c>
      <c r="EJ120" s="1" t="s">
        <v>114</v>
      </c>
      <c r="EK120" s="1">
        <v>6</v>
      </c>
      <c r="EL120" s="1">
        <v>4</v>
      </c>
    </row>
    <row r="121" spans="1:142" x14ac:dyDescent="0.25">
      <c r="A121" s="5">
        <v>117</v>
      </c>
      <c r="B121" s="17" t="s">
        <v>155</v>
      </c>
      <c r="C121" s="1" t="s">
        <v>336</v>
      </c>
      <c r="D121" s="35">
        <v>45625</v>
      </c>
      <c r="E121" s="1">
        <v>2</v>
      </c>
      <c r="F121" s="36"/>
      <c r="G121" s="1">
        <v>1</v>
      </c>
      <c r="H121" s="1">
        <v>40</v>
      </c>
      <c r="I121" s="1">
        <v>20</v>
      </c>
      <c r="J121" s="1">
        <v>10</v>
      </c>
      <c r="K121" s="1">
        <v>0</v>
      </c>
      <c r="L121" s="1">
        <f t="shared" si="11"/>
        <v>0</v>
      </c>
      <c r="M121" s="1" t="s">
        <v>107</v>
      </c>
      <c r="N121" s="1" t="s">
        <v>120</v>
      </c>
      <c r="O121" s="1" t="s">
        <v>109</v>
      </c>
      <c r="P121" s="1" t="s">
        <v>110</v>
      </c>
      <c r="Q121" s="1" t="s">
        <v>110</v>
      </c>
      <c r="R121" s="7">
        <v>3</v>
      </c>
      <c r="S121" s="1">
        <v>3</v>
      </c>
      <c r="T121" s="1">
        <v>0.50575999999999999</v>
      </c>
      <c r="U121" s="1"/>
      <c r="V121" s="1"/>
      <c r="W121" s="1"/>
      <c r="X121" s="1"/>
      <c r="Y121" s="1"/>
      <c r="Z121" s="3"/>
      <c r="AA121" s="3">
        <v>1</v>
      </c>
      <c r="AB121" s="3"/>
      <c r="AC121" s="3"/>
      <c r="AD121" s="3">
        <v>1</v>
      </c>
      <c r="AE121" s="3">
        <v>1</v>
      </c>
      <c r="AF121" s="1"/>
      <c r="AG121" s="1"/>
      <c r="AH121" s="1"/>
      <c r="AI121" s="1"/>
      <c r="AJ121" s="1"/>
      <c r="AK121" s="1"/>
      <c r="AL121" s="1"/>
      <c r="AM121" s="1"/>
      <c r="AN121" s="7">
        <v>10</v>
      </c>
      <c r="AO121" s="7">
        <v>3</v>
      </c>
      <c r="AP121" s="7">
        <f t="shared" si="21"/>
        <v>0.23</v>
      </c>
      <c r="AQ121" s="7">
        <f t="shared" si="12"/>
        <v>13.043478260869565</v>
      </c>
      <c r="AR121" s="7">
        <f t="shared" si="13"/>
        <v>0</v>
      </c>
      <c r="AS121" s="7">
        <f t="shared" si="14"/>
        <v>0.33333333333333331</v>
      </c>
      <c r="AT121" s="7">
        <f t="shared" si="15"/>
        <v>0</v>
      </c>
      <c r="AU121" s="7">
        <f t="shared" si="16"/>
        <v>0</v>
      </c>
      <c r="AV121" s="7">
        <f t="shared" si="17"/>
        <v>13.043478260869565</v>
      </c>
      <c r="AW121" s="7">
        <f t="shared" si="18"/>
        <v>13.043478260869565</v>
      </c>
      <c r="AX121" s="7">
        <f t="shared" si="19"/>
        <v>26.086956521739129</v>
      </c>
      <c r="AY121" s="7">
        <v>0.33329999999999999</v>
      </c>
      <c r="AZ121" s="18">
        <v>20.666666666666668</v>
      </c>
      <c r="BA121" s="18">
        <v>62</v>
      </c>
      <c r="BB121" s="7">
        <v>0</v>
      </c>
      <c r="BC121" s="7">
        <v>81</v>
      </c>
      <c r="BD121" s="7">
        <f t="shared" si="20"/>
        <v>27</v>
      </c>
      <c r="BE121" s="5">
        <v>1</v>
      </c>
      <c r="BF121" s="1">
        <v>700</v>
      </c>
      <c r="BG121" s="7">
        <v>5430</v>
      </c>
      <c r="BH121" s="7">
        <v>30000</v>
      </c>
      <c r="BI121" s="7">
        <v>600</v>
      </c>
      <c r="BJ121" s="7">
        <v>12</v>
      </c>
      <c r="BK121" s="1"/>
      <c r="BL121" s="1"/>
      <c r="BM121" s="1">
        <v>1</v>
      </c>
      <c r="BN121" s="1"/>
      <c r="BO121" s="1"/>
      <c r="BP121" s="1">
        <v>1</v>
      </c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>
        <v>1</v>
      </c>
      <c r="CM121" s="1"/>
      <c r="CN121" s="1"/>
      <c r="CO121" s="1"/>
      <c r="CP121" s="1"/>
      <c r="CQ121" s="1"/>
      <c r="CR121" s="1"/>
      <c r="CS121" s="1"/>
      <c r="CT121" s="1"/>
      <c r="CU121" s="7">
        <v>2</v>
      </c>
      <c r="CV121" s="7">
        <v>2</v>
      </c>
      <c r="CW121" s="7">
        <v>0</v>
      </c>
      <c r="CX121" s="7">
        <v>8</v>
      </c>
      <c r="CY121" s="1">
        <v>4</v>
      </c>
      <c r="CZ121" s="1"/>
      <c r="DA121" s="7">
        <v>1</v>
      </c>
      <c r="DB121" s="1"/>
      <c r="DC121" s="1"/>
      <c r="DD121" s="1"/>
      <c r="DE121" s="1"/>
      <c r="DF121" s="1">
        <v>1</v>
      </c>
      <c r="DG121" s="1"/>
      <c r="DH121" s="1"/>
      <c r="DI121" s="1"/>
      <c r="DJ121" s="1">
        <v>1</v>
      </c>
      <c r="DK121" s="1"/>
      <c r="DL121" s="1"/>
      <c r="DM121" s="1">
        <v>1</v>
      </c>
      <c r="DN121" s="1"/>
      <c r="DO121" s="1"/>
      <c r="DP121" s="1"/>
      <c r="DQ121" s="1">
        <v>1</v>
      </c>
      <c r="DR121" s="1"/>
      <c r="DS121" s="1"/>
      <c r="DT121" s="7">
        <v>3</v>
      </c>
      <c r="DU121" s="7">
        <v>2</v>
      </c>
      <c r="DV121" s="1"/>
      <c r="DW121" s="1"/>
      <c r="DX121" s="7">
        <v>600</v>
      </c>
      <c r="DY121" s="7">
        <v>800</v>
      </c>
      <c r="DZ121" s="1"/>
      <c r="EA121" s="1"/>
      <c r="EB121" s="1"/>
      <c r="EC121" s="1" t="s">
        <v>111</v>
      </c>
      <c r="ED121" s="1" t="s">
        <v>112</v>
      </c>
      <c r="EE121" s="1">
        <v>1</v>
      </c>
      <c r="EF121" s="1">
        <v>1</v>
      </c>
      <c r="EG121" s="1" t="s">
        <v>113</v>
      </c>
      <c r="EH121" s="1" t="s">
        <v>114</v>
      </c>
      <c r="EI121" s="1" t="s">
        <v>111</v>
      </c>
      <c r="EJ121" s="1" t="s">
        <v>114</v>
      </c>
      <c r="EK121" s="1">
        <v>5</v>
      </c>
      <c r="EL121" s="1">
        <v>5</v>
      </c>
    </row>
    <row r="122" spans="1:142" s="10" customFormat="1" x14ac:dyDescent="0.25">
      <c r="A122" s="10">
        <v>118</v>
      </c>
      <c r="B122" s="38" t="s">
        <v>168</v>
      </c>
      <c r="C122" s="4" t="s">
        <v>337</v>
      </c>
      <c r="D122" s="39">
        <v>45625</v>
      </c>
      <c r="E122" s="4">
        <v>2</v>
      </c>
      <c r="F122" s="45">
        <v>1</v>
      </c>
      <c r="G122" s="4">
        <v>1</v>
      </c>
      <c r="H122" s="4">
        <v>57</v>
      </c>
      <c r="I122" s="4">
        <v>25</v>
      </c>
      <c r="J122" s="4">
        <v>12</v>
      </c>
      <c r="K122" s="4">
        <v>0</v>
      </c>
      <c r="L122" s="4">
        <f t="shared" si="11"/>
        <v>0</v>
      </c>
      <c r="M122" s="4" t="s">
        <v>107</v>
      </c>
      <c r="N122" s="4" t="s">
        <v>120</v>
      </c>
      <c r="O122" s="4" t="s">
        <v>109</v>
      </c>
      <c r="P122" s="4" t="s">
        <v>110</v>
      </c>
      <c r="Q122" s="4" t="s">
        <v>110</v>
      </c>
      <c r="R122" s="12">
        <v>3</v>
      </c>
      <c r="S122" s="4">
        <v>4</v>
      </c>
      <c r="T122" s="4">
        <v>1.01152</v>
      </c>
      <c r="U122" s="4"/>
      <c r="V122" s="4"/>
      <c r="W122" s="4"/>
      <c r="X122" s="4"/>
      <c r="Y122" s="4"/>
      <c r="Z122" s="40">
        <v>1</v>
      </c>
      <c r="AA122" s="40">
        <v>2</v>
      </c>
      <c r="AB122" s="40"/>
      <c r="AC122" s="40"/>
      <c r="AD122" s="40">
        <v>3</v>
      </c>
      <c r="AE122" s="40">
        <v>1</v>
      </c>
      <c r="AF122" s="4"/>
      <c r="AG122" s="4"/>
      <c r="AH122" s="4"/>
      <c r="AI122" s="4"/>
      <c r="AJ122" s="4"/>
      <c r="AK122" s="4"/>
      <c r="AL122" s="4">
        <v>6</v>
      </c>
      <c r="AM122" s="4">
        <v>10</v>
      </c>
      <c r="AN122" s="4">
        <v>30</v>
      </c>
      <c r="AO122" s="12">
        <v>7</v>
      </c>
      <c r="AP122" s="12">
        <f t="shared" si="21"/>
        <v>0.49</v>
      </c>
      <c r="AQ122" s="12">
        <f t="shared" si="12"/>
        <v>18.367346938775512</v>
      </c>
      <c r="AR122" s="12">
        <f t="shared" si="13"/>
        <v>0.14285714285714285</v>
      </c>
      <c r="AS122" s="12">
        <f t="shared" si="14"/>
        <v>0.2857142857142857</v>
      </c>
      <c r="AT122" s="12">
        <f t="shared" si="15"/>
        <v>0</v>
      </c>
      <c r="AU122" s="12">
        <f t="shared" si="16"/>
        <v>0</v>
      </c>
      <c r="AV122" s="12">
        <f t="shared" si="17"/>
        <v>18.367346938775512</v>
      </c>
      <c r="AW122" s="12">
        <f t="shared" si="18"/>
        <v>6.1224489795918364</v>
      </c>
      <c r="AX122" s="12">
        <f t="shared" si="19"/>
        <v>18.367346938775512</v>
      </c>
      <c r="AY122" s="12">
        <v>0.42857142860000003</v>
      </c>
      <c r="AZ122" s="41">
        <v>15.857142857142858</v>
      </c>
      <c r="BA122" s="41">
        <v>111</v>
      </c>
      <c r="BB122" s="12">
        <v>0</v>
      </c>
      <c r="BC122" s="12">
        <v>146</v>
      </c>
      <c r="BD122" s="12">
        <f t="shared" si="20"/>
        <v>20.857142857142858</v>
      </c>
      <c r="BE122" s="10">
        <v>1</v>
      </c>
      <c r="BF122" s="4">
        <v>450</v>
      </c>
      <c r="BG122" s="12">
        <v>9790</v>
      </c>
      <c r="BH122" s="12">
        <v>30000</v>
      </c>
      <c r="BI122" s="12">
        <v>1400</v>
      </c>
      <c r="BJ122" s="12">
        <v>28</v>
      </c>
      <c r="BK122" s="4"/>
      <c r="BL122" s="4"/>
      <c r="BM122" s="4">
        <v>3</v>
      </c>
      <c r="BN122" s="4"/>
      <c r="BO122" s="4"/>
      <c r="BP122" s="4">
        <v>1</v>
      </c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12">
        <v>2</v>
      </c>
      <c r="CV122" s="12">
        <v>2</v>
      </c>
      <c r="CW122" s="12">
        <v>0</v>
      </c>
      <c r="CX122" s="12">
        <v>8</v>
      </c>
      <c r="CY122" s="4">
        <v>4</v>
      </c>
      <c r="CZ122" s="4"/>
      <c r="DA122" s="12">
        <v>1</v>
      </c>
      <c r="DB122" s="4"/>
      <c r="DC122" s="4"/>
      <c r="DD122" s="4"/>
      <c r="DE122" s="4"/>
      <c r="DF122" s="4">
        <v>1</v>
      </c>
      <c r="DG122" s="4"/>
      <c r="DH122" s="4"/>
      <c r="DI122" s="4"/>
      <c r="DJ122" s="4">
        <v>1</v>
      </c>
      <c r="DK122" s="4"/>
      <c r="DL122" s="4"/>
      <c r="DM122" s="4">
        <v>1</v>
      </c>
      <c r="DN122" s="4"/>
      <c r="DO122" s="4"/>
      <c r="DP122" s="4"/>
      <c r="DQ122" s="4">
        <v>1</v>
      </c>
      <c r="DR122" s="4"/>
      <c r="DS122" s="4"/>
      <c r="DT122" s="12">
        <v>3</v>
      </c>
      <c r="DU122" s="12">
        <v>3</v>
      </c>
      <c r="DV122" s="4"/>
      <c r="DW122" s="4"/>
      <c r="DX122" s="12">
        <v>1200</v>
      </c>
      <c r="DY122" s="12">
        <v>1100</v>
      </c>
      <c r="DZ122" s="4"/>
      <c r="EA122" s="4"/>
      <c r="EB122" s="4"/>
      <c r="EC122" s="4" t="s">
        <v>111</v>
      </c>
      <c r="ED122" s="4" t="s">
        <v>112</v>
      </c>
      <c r="EE122" s="4">
        <v>1</v>
      </c>
      <c r="EF122" s="4">
        <v>1</v>
      </c>
      <c r="EG122" s="4" t="s">
        <v>113</v>
      </c>
      <c r="EH122" s="4" t="s">
        <v>114</v>
      </c>
      <c r="EI122" s="4" t="s">
        <v>111</v>
      </c>
      <c r="EJ122" s="4" t="s">
        <v>114</v>
      </c>
      <c r="EK122" s="4">
        <v>6</v>
      </c>
      <c r="EL122" s="4">
        <v>5</v>
      </c>
    </row>
    <row r="123" spans="1:142" x14ac:dyDescent="0.25">
      <c r="A123" s="5">
        <v>1</v>
      </c>
      <c r="B123" s="5" t="s">
        <v>338</v>
      </c>
      <c r="C123" s="5" t="s">
        <v>339</v>
      </c>
      <c r="D123" s="6"/>
      <c r="E123" s="6"/>
      <c r="F123" s="46"/>
      <c r="G123" s="5">
        <v>0</v>
      </c>
      <c r="H123" s="5">
        <v>60</v>
      </c>
      <c r="I123" s="5">
        <v>18</v>
      </c>
      <c r="J123" s="5">
        <v>14</v>
      </c>
      <c r="K123" s="5">
        <v>0</v>
      </c>
      <c r="L123" s="1">
        <f t="shared" si="11"/>
        <v>0</v>
      </c>
      <c r="M123" s="7" t="s">
        <v>107</v>
      </c>
      <c r="N123" s="7" t="s">
        <v>340</v>
      </c>
      <c r="O123" s="5" t="s">
        <v>120</v>
      </c>
      <c r="P123" s="7" t="s">
        <v>110</v>
      </c>
      <c r="Q123" s="7" t="s">
        <v>110</v>
      </c>
      <c r="R123" s="7">
        <v>1</v>
      </c>
      <c r="S123" s="7">
        <v>3</v>
      </c>
      <c r="T123" s="7">
        <v>1.2564</v>
      </c>
      <c r="U123" s="5">
        <v>1</v>
      </c>
      <c r="Z123" s="8"/>
      <c r="AA123" s="8"/>
      <c r="AB123" s="8"/>
      <c r="AC123" s="8">
        <v>1</v>
      </c>
      <c r="AD123" s="8">
        <v>1</v>
      </c>
      <c r="AE123" s="8"/>
      <c r="AO123" s="7">
        <v>2</v>
      </c>
      <c r="AP123" s="7">
        <f t="shared" si="21"/>
        <v>0.13</v>
      </c>
      <c r="AQ123" s="7">
        <f t="shared" si="12"/>
        <v>0</v>
      </c>
      <c r="AR123" s="7">
        <f t="shared" si="13"/>
        <v>0</v>
      </c>
      <c r="AS123" s="7">
        <f t="shared" si="14"/>
        <v>0</v>
      </c>
      <c r="AT123" s="7">
        <f t="shared" si="15"/>
        <v>0</v>
      </c>
      <c r="AU123" s="7">
        <f t="shared" si="16"/>
        <v>23.076923076923077</v>
      </c>
      <c r="AV123" s="7">
        <f t="shared" si="17"/>
        <v>23.076923076923077</v>
      </c>
      <c r="AW123" s="7">
        <f t="shared" si="18"/>
        <v>0</v>
      </c>
      <c r="AX123" s="7">
        <f t="shared" si="19"/>
        <v>23.076923076923077</v>
      </c>
      <c r="AY123" s="7">
        <v>0</v>
      </c>
      <c r="AZ123" s="7">
        <v>15</v>
      </c>
      <c r="BA123" s="5">
        <v>30</v>
      </c>
      <c r="BB123" s="7">
        <v>0</v>
      </c>
      <c r="BC123" s="7">
        <v>39</v>
      </c>
      <c r="BD123" s="7">
        <f t="shared" si="20"/>
        <v>19.5</v>
      </c>
      <c r="BE123" s="5">
        <v>0</v>
      </c>
      <c r="BF123" s="5">
        <v>0</v>
      </c>
      <c r="BG123" s="5">
        <v>2200</v>
      </c>
      <c r="BH123" s="7">
        <v>30000</v>
      </c>
      <c r="BI123" s="7">
        <v>1400</v>
      </c>
      <c r="BJ123" s="7">
        <v>28</v>
      </c>
      <c r="BM123" s="5">
        <v>1</v>
      </c>
      <c r="BU123" s="5">
        <v>1</v>
      </c>
      <c r="CU123" s="5">
        <v>2</v>
      </c>
      <c r="CV123" s="5">
        <v>2</v>
      </c>
      <c r="CW123" s="5">
        <v>0</v>
      </c>
      <c r="CX123" s="7">
        <v>8</v>
      </c>
      <c r="CY123" s="5">
        <v>4</v>
      </c>
      <c r="DA123" s="5">
        <v>1</v>
      </c>
      <c r="DC123" s="5">
        <v>1</v>
      </c>
      <c r="DD123" s="5">
        <v>365</v>
      </c>
      <c r="DF123" s="5">
        <v>1</v>
      </c>
      <c r="DG123" s="5">
        <v>1</v>
      </c>
      <c r="DH123" s="5">
        <v>365</v>
      </c>
      <c r="DJ123" s="5">
        <v>1</v>
      </c>
      <c r="DK123" s="5">
        <v>1</v>
      </c>
      <c r="DL123" s="5">
        <v>365</v>
      </c>
      <c r="DM123" s="5">
        <v>1</v>
      </c>
      <c r="DO123" s="5">
        <v>1</v>
      </c>
      <c r="DQ123" s="5">
        <v>1</v>
      </c>
      <c r="DS123" s="5">
        <v>1</v>
      </c>
      <c r="DT123" s="5">
        <v>3</v>
      </c>
      <c r="DU123" s="5">
        <v>1</v>
      </c>
      <c r="DX123" s="7">
        <v>800</v>
      </c>
      <c r="DY123" s="7">
        <v>700</v>
      </c>
      <c r="EC123" s="5" t="s">
        <v>111</v>
      </c>
      <c r="ED123" s="5" t="s">
        <v>111</v>
      </c>
      <c r="EE123" s="5">
        <v>0</v>
      </c>
      <c r="EF123" s="5">
        <v>0</v>
      </c>
      <c r="EG123" s="5" t="s">
        <v>111</v>
      </c>
      <c r="EH123" s="5" t="s">
        <v>111</v>
      </c>
      <c r="EI123" s="5" t="s">
        <v>111</v>
      </c>
      <c r="EJ123" s="5" t="s">
        <v>114</v>
      </c>
      <c r="EK123" s="5">
        <v>14</v>
      </c>
      <c r="EL123" s="5">
        <v>26</v>
      </c>
    </row>
    <row r="124" spans="1:142" x14ac:dyDescent="0.25">
      <c r="A124" s="5">
        <v>2</v>
      </c>
      <c r="B124" s="5" t="s">
        <v>341</v>
      </c>
      <c r="C124" s="5" t="s">
        <v>342</v>
      </c>
      <c r="D124" s="6"/>
      <c r="E124" s="6"/>
      <c r="F124" s="47"/>
      <c r="G124" s="5">
        <v>0</v>
      </c>
      <c r="H124" s="5">
        <v>28</v>
      </c>
      <c r="I124" s="5">
        <v>2</v>
      </c>
      <c r="J124" s="5">
        <v>0</v>
      </c>
      <c r="K124" s="5">
        <v>13</v>
      </c>
      <c r="L124" s="1">
        <f t="shared" si="11"/>
        <v>5</v>
      </c>
      <c r="M124" s="7" t="s">
        <v>107</v>
      </c>
      <c r="N124" s="7" t="s">
        <v>174</v>
      </c>
      <c r="O124" s="5" t="s">
        <v>120</v>
      </c>
      <c r="P124" s="7" t="s">
        <v>110</v>
      </c>
      <c r="Q124" s="7" t="s">
        <v>110</v>
      </c>
      <c r="R124" s="7">
        <v>1</v>
      </c>
      <c r="S124" s="7">
        <v>2</v>
      </c>
      <c r="T124" s="7">
        <v>0</v>
      </c>
      <c r="Z124" s="8"/>
      <c r="AA124" s="8"/>
      <c r="AB124" s="8">
        <v>1</v>
      </c>
      <c r="AC124" s="8">
        <v>1</v>
      </c>
      <c r="AD124" s="8"/>
      <c r="AE124" s="8"/>
      <c r="AO124" s="7">
        <v>2</v>
      </c>
      <c r="AP124" s="7">
        <f t="shared" si="21"/>
        <v>0.06</v>
      </c>
      <c r="AQ124" s="7">
        <f t="shared" si="12"/>
        <v>0</v>
      </c>
      <c r="AR124" s="7">
        <f t="shared" si="13"/>
        <v>0</v>
      </c>
      <c r="AS124" s="7">
        <f t="shared" si="14"/>
        <v>0</v>
      </c>
      <c r="AT124" s="7">
        <f t="shared" si="15"/>
        <v>50</v>
      </c>
      <c r="AU124" s="7">
        <f t="shared" si="16"/>
        <v>50</v>
      </c>
      <c r="AV124" s="7">
        <f t="shared" si="17"/>
        <v>0</v>
      </c>
      <c r="AW124" s="7">
        <f t="shared" si="18"/>
        <v>0</v>
      </c>
      <c r="AX124" s="7">
        <f t="shared" si="19"/>
        <v>50</v>
      </c>
      <c r="AY124" s="7">
        <v>0</v>
      </c>
      <c r="AZ124" s="7">
        <v>9</v>
      </c>
      <c r="BA124" s="5">
        <v>18</v>
      </c>
      <c r="BB124" s="7">
        <v>0</v>
      </c>
      <c r="BC124" s="7">
        <v>27</v>
      </c>
      <c r="BD124" s="7">
        <f t="shared" si="20"/>
        <v>13.5</v>
      </c>
      <c r="BE124" s="5">
        <v>0</v>
      </c>
      <c r="BF124" s="5">
        <v>0</v>
      </c>
      <c r="BG124" s="5">
        <v>1500</v>
      </c>
      <c r="BH124" s="7">
        <v>30000</v>
      </c>
      <c r="BI124" s="7">
        <v>900</v>
      </c>
      <c r="BJ124" s="7">
        <v>18</v>
      </c>
      <c r="BR124" s="5">
        <v>1</v>
      </c>
      <c r="BU124" s="5">
        <v>1</v>
      </c>
      <c r="CU124" s="5">
        <v>2</v>
      </c>
      <c r="CV124" s="5">
        <v>2</v>
      </c>
      <c r="CW124" s="5">
        <v>0</v>
      </c>
      <c r="CX124" s="7">
        <v>8</v>
      </c>
      <c r="CY124" s="5">
        <v>4</v>
      </c>
      <c r="DA124" s="5">
        <v>1</v>
      </c>
      <c r="DD124" s="5">
        <v>365</v>
      </c>
      <c r="DF124" s="5">
        <v>2</v>
      </c>
      <c r="DH124" s="5">
        <v>365</v>
      </c>
      <c r="DJ124" s="5">
        <v>1</v>
      </c>
      <c r="DL124" s="5">
        <v>365</v>
      </c>
      <c r="DM124" s="5">
        <v>1</v>
      </c>
      <c r="DQ124" s="5">
        <v>1</v>
      </c>
      <c r="DT124" s="5">
        <v>3</v>
      </c>
      <c r="DU124" s="5">
        <v>3</v>
      </c>
      <c r="DV124" s="7">
        <v>138000</v>
      </c>
      <c r="DX124" s="7">
        <v>800</v>
      </c>
      <c r="DY124" s="7">
        <v>900</v>
      </c>
      <c r="EC124" s="5" t="s">
        <v>111</v>
      </c>
      <c r="ED124" s="5" t="s">
        <v>111</v>
      </c>
      <c r="EE124" s="5">
        <v>0</v>
      </c>
      <c r="EF124" s="5">
        <v>0</v>
      </c>
      <c r="EG124" s="5" t="s">
        <v>111</v>
      </c>
      <c r="EH124" s="5" t="s">
        <v>111</v>
      </c>
      <c r="EI124" s="5" t="s">
        <v>111</v>
      </c>
      <c r="EJ124" s="5" t="s">
        <v>114</v>
      </c>
      <c r="EK124" s="5">
        <v>14</v>
      </c>
      <c r="EL124" s="5">
        <v>26</v>
      </c>
    </row>
    <row r="125" spans="1:142" x14ac:dyDescent="0.25">
      <c r="A125" s="5">
        <v>3</v>
      </c>
      <c r="B125" s="5" t="s">
        <v>343</v>
      </c>
      <c r="C125" s="5" t="s">
        <v>344</v>
      </c>
      <c r="D125" s="6"/>
      <c r="E125" s="6"/>
      <c r="F125" s="47"/>
      <c r="G125" s="5">
        <v>0</v>
      </c>
      <c r="H125" s="5">
        <v>45</v>
      </c>
      <c r="I125" s="5">
        <v>11</v>
      </c>
      <c r="J125" s="5">
        <v>7</v>
      </c>
      <c r="K125" s="5">
        <v>10</v>
      </c>
      <c r="L125" s="1">
        <f t="shared" si="11"/>
        <v>3</v>
      </c>
      <c r="M125" s="7" t="s">
        <v>107</v>
      </c>
      <c r="N125" s="7" t="s">
        <v>345</v>
      </c>
      <c r="O125" s="5" t="s">
        <v>120</v>
      </c>
      <c r="P125" s="7" t="s">
        <v>110</v>
      </c>
      <c r="Q125" s="7" t="s">
        <v>110</v>
      </c>
      <c r="R125" s="7">
        <v>2</v>
      </c>
      <c r="S125" s="7">
        <v>3</v>
      </c>
      <c r="T125" s="7">
        <v>0</v>
      </c>
      <c r="U125" s="9"/>
      <c r="V125" s="9"/>
      <c r="W125" s="9"/>
      <c r="X125" s="9"/>
      <c r="Y125" s="9"/>
      <c r="Z125" s="8"/>
      <c r="AA125" s="8">
        <v>1</v>
      </c>
      <c r="AB125" s="8"/>
      <c r="AC125" s="8"/>
      <c r="AD125" s="8"/>
      <c r="AE125" s="8"/>
      <c r="AL125" s="5">
        <v>2</v>
      </c>
      <c r="AM125" s="5">
        <v>3</v>
      </c>
      <c r="AO125" s="7">
        <v>1</v>
      </c>
      <c r="AP125" s="7">
        <f t="shared" si="21"/>
        <v>0.03</v>
      </c>
      <c r="AQ125" s="7">
        <f t="shared" si="12"/>
        <v>100</v>
      </c>
      <c r="AR125" s="7">
        <f t="shared" si="13"/>
        <v>0</v>
      </c>
      <c r="AS125" s="7">
        <f t="shared" si="14"/>
        <v>1</v>
      </c>
      <c r="AT125" s="7">
        <f t="shared" si="15"/>
        <v>0</v>
      </c>
      <c r="AU125" s="7">
        <f t="shared" si="16"/>
        <v>0</v>
      </c>
      <c r="AV125" s="7">
        <f t="shared" si="17"/>
        <v>0</v>
      </c>
      <c r="AW125" s="7">
        <f t="shared" si="18"/>
        <v>0</v>
      </c>
      <c r="AX125" s="7">
        <f t="shared" si="19"/>
        <v>100</v>
      </c>
      <c r="AY125" s="7">
        <v>0</v>
      </c>
      <c r="AZ125" s="7">
        <v>4</v>
      </c>
      <c r="BA125" s="5">
        <v>4</v>
      </c>
      <c r="BB125" s="7">
        <v>0</v>
      </c>
      <c r="BC125" s="7">
        <v>8</v>
      </c>
      <c r="BD125" s="7">
        <f t="shared" si="20"/>
        <v>8</v>
      </c>
      <c r="BE125" s="5">
        <v>0</v>
      </c>
      <c r="BF125" s="5">
        <v>0</v>
      </c>
      <c r="BG125" s="5">
        <v>500</v>
      </c>
      <c r="BH125" s="7">
        <v>30000</v>
      </c>
      <c r="BI125" s="7">
        <v>300</v>
      </c>
      <c r="BJ125" s="7">
        <v>6</v>
      </c>
      <c r="CU125" s="5">
        <v>2</v>
      </c>
      <c r="CV125" s="5">
        <v>2</v>
      </c>
      <c r="CW125" s="5">
        <v>0</v>
      </c>
      <c r="CX125" s="7">
        <v>8</v>
      </c>
      <c r="CY125" s="5">
        <v>4</v>
      </c>
      <c r="DA125" s="5">
        <v>1</v>
      </c>
      <c r="DB125" s="5">
        <v>1</v>
      </c>
      <c r="DD125" s="5">
        <v>365</v>
      </c>
      <c r="DF125" s="5">
        <v>1</v>
      </c>
      <c r="DH125" s="5">
        <v>365</v>
      </c>
      <c r="DJ125" s="5">
        <v>1</v>
      </c>
      <c r="DL125" s="5">
        <v>365</v>
      </c>
      <c r="DM125" s="5">
        <v>1</v>
      </c>
      <c r="DN125" s="5">
        <v>1</v>
      </c>
      <c r="DQ125" s="5">
        <v>1</v>
      </c>
      <c r="DT125" s="5">
        <v>3</v>
      </c>
      <c r="DU125" s="5">
        <v>3</v>
      </c>
      <c r="DV125" s="7">
        <v>110000</v>
      </c>
      <c r="DX125" s="7">
        <v>650</v>
      </c>
      <c r="DY125" s="7">
        <v>700</v>
      </c>
      <c r="EC125" s="5" t="s">
        <v>111</v>
      </c>
      <c r="ED125" s="5" t="s">
        <v>111</v>
      </c>
      <c r="EE125" s="5">
        <v>0</v>
      </c>
      <c r="EF125" s="5">
        <v>0</v>
      </c>
      <c r="EG125" s="5" t="s">
        <v>111</v>
      </c>
      <c r="EH125" s="5" t="s">
        <v>111</v>
      </c>
      <c r="EI125" s="5" t="s">
        <v>111</v>
      </c>
      <c r="EJ125" s="5" t="s">
        <v>114</v>
      </c>
      <c r="EK125" s="5">
        <v>13</v>
      </c>
      <c r="EL125" s="5">
        <v>26</v>
      </c>
    </row>
    <row r="126" spans="1:142" x14ac:dyDescent="0.25">
      <c r="A126" s="5">
        <v>4</v>
      </c>
      <c r="B126" s="5" t="s">
        <v>346</v>
      </c>
      <c r="C126" s="5" t="s">
        <v>347</v>
      </c>
      <c r="D126" s="6"/>
      <c r="E126" s="6"/>
      <c r="F126" s="47"/>
      <c r="G126" s="5">
        <v>0</v>
      </c>
      <c r="H126" s="5">
        <v>46</v>
      </c>
      <c r="I126" s="5">
        <v>9</v>
      </c>
      <c r="J126" s="5">
        <v>5</v>
      </c>
      <c r="K126" s="5">
        <v>10</v>
      </c>
      <c r="L126" s="1">
        <f t="shared" si="11"/>
        <v>3</v>
      </c>
      <c r="M126" s="7" t="s">
        <v>107</v>
      </c>
      <c r="N126" s="7" t="s">
        <v>345</v>
      </c>
      <c r="O126" s="5" t="s">
        <v>120</v>
      </c>
      <c r="P126" s="7" t="s">
        <v>110</v>
      </c>
      <c r="Q126" s="7" t="s">
        <v>110</v>
      </c>
      <c r="R126" s="7">
        <v>2</v>
      </c>
      <c r="S126" s="7">
        <v>3</v>
      </c>
      <c r="T126" s="7">
        <v>0</v>
      </c>
      <c r="Z126" s="8"/>
      <c r="AA126" s="8"/>
      <c r="AB126" s="8"/>
      <c r="AC126" s="8"/>
      <c r="AD126" s="8"/>
      <c r="AE126" s="8">
        <v>2</v>
      </c>
      <c r="AO126" s="7">
        <v>2</v>
      </c>
      <c r="AP126" s="7">
        <f t="shared" si="21"/>
        <v>0.2</v>
      </c>
      <c r="AQ126" s="7">
        <f t="shared" si="12"/>
        <v>0</v>
      </c>
      <c r="AR126" s="7">
        <f t="shared" si="13"/>
        <v>0</v>
      </c>
      <c r="AS126" s="7">
        <f t="shared" si="14"/>
        <v>0</v>
      </c>
      <c r="AT126" s="7">
        <f t="shared" si="15"/>
        <v>0</v>
      </c>
      <c r="AU126" s="7">
        <f t="shared" si="16"/>
        <v>0</v>
      </c>
      <c r="AV126" s="7">
        <f t="shared" si="17"/>
        <v>0</v>
      </c>
      <c r="AW126" s="7">
        <f t="shared" si="18"/>
        <v>30</v>
      </c>
      <c r="AX126" s="7">
        <f t="shared" si="19"/>
        <v>30</v>
      </c>
      <c r="AY126" s="7">
        <v>0</v>
      </c>
      <c r="AZ126" s="7">
        <v>25.5</v>
      </c>
      <c r="BA126" s="5">
        <v>51</v>
      </c>
      <c r="BB126" s="7">
        <v>0</v>
      </c>
      <c r="BC126" s="7">
        <v>22</v>
      </c>
      <c r="BD126" s="7">
        <f t="shared" si="20"/>
        <v>11</v>
      </c>
      <c r="BE126" s="5">
        <v>2</v>
      </c>
      <c r="BF126" s="5">
        <v>425</v>
      </c>
      <c r="BG126" s="5">
        <v>1200</v>
      </c>
      <c r="BH126" s="7">
        <v>15000</v>
      </c>
      <c r="BI126" s="7">
        <v>800</v>
      </c>
      <c r="BJ126" s="7">
        <v>16</v>
      </c>
      <c r="BM126" s="5">
        <v>1</v>
      </c>
      <c r="BP126" s="5">
        <v>2</v>
      </c>
      <c r="CE126" s="5">
        <v>1</v>
      </c>
      <c r="CU126" s="5">
        <v>6</v>
      </c>
      <c r="CV126" s="5">
        <v>2</v>
      </c>
      <c r="CW126" s="5">
        <v>0</v>
      </c>
      <c r="CX126" s="7">
        <v>8</v>
      </c>
      <c r="CY126" s="5">
        <v>2</v>
      </c>
      <c r="DA126" s="5">
        <v>1</v>
      </c>
      <c r="DD126" s="5">
        <v>365</v>
      </c>
      <c r="DF126" s="5">
        <v>2</v>
      </c>
      <c r="DH126" s="5">
        <v>365</v>
      </c>
      <c r="DJ126" s="5">
        <v>1</v>
      </c>
      <c r="DL126" s="5">
        <v>365</v>
      </c>
      <c r="DM126" s="5">
        <v>1</v>
      </c>
      <c r="DQ126" s="5">
        <v>1</v>
      </c>
      <c r="DT126" s="5">
        <v>3</v>
      </c>
      <c r="DU126" s="5">
        <v>3</v>
      </c>
      <c r="DV126" s="7">
        <v>148000</v>
      </c>
      <c r="DX126" s="7">
        <v>800</v>
      </c>
      <c r="DY126" s="7">
        <v>800</v>
      </c>
      <c r="EC126" s="5" t="s">
        <v>111</v>
      </c>
      <c r="ED126" s="5" t="s">
        <v>111</v>
      </c>
      <c r="EE126" s="5">
        <v>0</v>
      </c>
      <c r="EF126" s="5">
        <v>0</v>
      </c>
      <c r="EG126" s="5" t="s">
        <v>111</v>
      </c>
      <c r="EH126" s="5" t="s">
        <v>111</v>
      </c>
      <c r="EI126" s="5" t="s">
        <v>111</v>
      </c>
      <c r="EJ126" s="5" t="s">
        <v>114</v>
      </c>
      <c r="EK126" s="5">
        <v>14</v>
      </c>
      <c r="EL126" s="5">
        <v>26</v>
      </c>
    </row>
    <row r="127" spans="1:142" x14ac:dyDescent="0.25">
      <c r="A127" s="5">
        <v>5</v>
      </c>
      <c r="B127" s="5" t="s">
        <v>348</v>
      </c>
      <c r="C127" s="5" t="s">
        <v>349</v>
      </c>
      <c r="D127" s="6"/>
      <c r="E127" s="6"/>
      <c r="F127" s="47"/>
      <c r="G127" s="5">
        <v>0</v>
      </c>
      <c r="H127" s="5">
        <v>60</v>
      </c>
      <c r="I127" s="5">
        <v>17</v>
      </c>
      <c r="J127" s="5">
        <v>12</v>
      </c>
      <c r="K127" s="5">
        <v>0</v>
      </c>
      <c r="L127" s="1">
        <f t="shared" si="11"/>
        <v>0</v>
      </c>
      <c r="M127" s="7" t="s">
        <v>107</v>
      </c>
      <c r="N127" s="7" t="s">
        <v>340</v>
      </c>
      <c r="O127" s="5" t="s">
        <v>120</v>
      </c>
      <c r="P127" s="7" t="s">
        <v>110</v>
      </c>
      <c r="Q127" s="7" t="s">
        <v>110</v>
      </c>
      <c r="R127" s="7">
        <v>3</v>
      </c>
      <c r="S127" s="7">
        <v>6</v>
      </c>
      <c r="T127" s="7">
        <v>0</v>
      </c>
      <c r="Z127" s="8"/>
      <c r="AA127" s="8">
        <v>1</v>
      </c>
      <c r="AB127" s="8"/>
      <c r="AC127" s="8">
        <v>1</v>
      </c>
      <c r="AD127" s="8"/>
      <c r="AE127" s="8"/>
      <c r="AL127" s="5">
        <v>3</v>
      </c>
      <c r="AM127" s="5">
        <v>3</v>
      </c>
      <c r="AO127" s="7">
        <v>2</v>
      </c>
      <c r="AP127" s="7">
        <f t="shared" si="21"/>
        <v>0.06</v>
      </c>
      <c r="AQ127" s="7">
        <f t="shared" si="12"/>
        <v>50</v>
      </c>
      <c r="AR127" s="7">
        <f t="shared" si="13"/>
        <v>0</v>
      </c>
      <c r="AS127" s="7">
        <f t="shared" si="14"/>
        <v>0.5</v>
      </c>
      <c r="AT127" s="7">
        <f t="shared" si="15"/>
        <v>0</v>
      </c>
      <c r="AU127" s="7">
        <f t="shared" si="16"/>
        <v>50</v>
      </c>
      <c r="AV127" s="7">
        <f t="shared" si="17"/>
        <v>0</v>
      </c>
      <c r="AW127" s="7">
        <f t="shared" si="18"/>
        <v>0</v>
      </c>
      <c r="AX127" s="7">
        <f t="shared" si="19"/>
        <v>100</v>
      </c>
      <c r="AY127" s="7">
        <v>0</v>
      </c>
      <c r="AZ127" s="7">
        <v>6</v>
      </c>
      <c r="BA127" s="5">
        <v>12</v>
      </c>
      <c r="BB127" s="7">
        <v>0</v>
      </c>
      <c r="BC127" s="7">
        <v>19</v>
      </c>
      <c r="BD127" s="7">
        <f t="shared" si="20"/>
        <v>9.5</v>
      </c>
      <c r="BE127" s="5">
        <v>0</v>
      </c>
      <c r="BF127" s="5">
        <v>0</v>
      </c>
      <c r="BG127" s="5">
        <v>1100</v>
      </c>
      <c r="BH127" s="7">
        <v>30000</v>
      </c>
      <c r="BI127" s="7">
        <v>600</v>
      </c>
      <c r="BJ127" s="7">
        <v>12</v>
      </c>
      <c r="BT127" s="5">
        <v>1</v>
      </c>
      <c r="BU127" s="5">
        <v>2</v>
      </c>
      <c r="CU127" s="5">
        <v>2</v>
      </c>
      <c r="CV127" s="5">
        <v>2</v>
      </c>
      <c r="CW127" s="5">
        <v>0</v>
      </c>
      <c r="CX127" s="7">
        <v>8</v>
      </c>
      <c r="CY127" s="5">
        <v>4</v>
      </c>
      <c r="DA127" s="5">
        <v>1</v>
      </c>
      <c r="DC127" s="5">
        <v>1</v>
      </c>
      <c r="DD127" s="5">
        <v>365</v>
      </c>
      <c r="DF127" s="5">
        <v>1</v>
      </c>
      <c r="DG127" s="5">
        <v>1</v>
      </c>
      <c r="DH127" s="5">
        <v>365</v>
      </c>
      <c r="DJ127" s="5">
        <v>1</v>
      </c>
      <c r="DK127" s="5">
        <v>1</v>
      </c>
      <c r="DL127" s="5">
        <v>365</v>
      </c>
      <c r="DM127" s="5">
        <v>1</v>
      </c>
      <c r="DO127" s="5">
        <v>1</v>
      </c>
      <c r="DQ127" s="5">
        <v>1</v>
      </c>
      <c r="DS127" s="5">
        <v>1</v>
      </c>
      <c r="DT127" s="5">
        <v>3</v>
      </c>
      <c r="DU127" s="5">
        <v>2</v>
      </c>
      <c r="DX127" s="7">
        <v>800</v>
      </c>
      <c r="DY127" s="7">
        <v>700</v>
      </c>
      <c r="EC127" s="5" t="s">
        <v>111</v>
      </c>
      <c r="ED127" s="5" t="s">
        <v>111</v>
      </c>
      <c r="EE127" s="5">
        <v>0</v>
      </c>
      <c r="EF127" s="5">
        <v>0</v>
      </c>
      <c r="EG127" s="5" t="s">
        <v>111</v>
      </c>
      <c r="EH127" s="5" t="s">
        <v>111</v>
      </c>
      <c r="EI127" s="5" t="s">
        <v>111</v>
      </c>
      <c r="EJ127" s="5" t="s">
        <v>114</v>
      </c>
      <c r="EK127" s="5">
        <v>13</v>
      </c>
      <c r="EL127" s="5">
        <v>26</v>
      </c>
    </row>
    <row r="128" spans="1:142" x14ac:dyDescent="0.25">
      <c r="A128" s="5">
        <v>6</v>
      </c>
      <c r="B128" s="5" t="s">
        <v>350</v>
      </c>
      <c r="C128" s="5" t="s">
        <v>351</v>
      </c>
      <c r="D128" s="6"/>
      <c r="E128" s="6"/>
      <c r="F128" s="47"/>
      <c r="G128" s="5">
        <v>0</v>
      </c>
      <c r="H128" s="5">
        <v>32</v>
      </c>
      <c r="I128" s="5">
        <v>3</v>
      </c>
      <c r="J128" s="5">
        <v>0</v>
      </c>
      <c r="K128" s="5">
        <v>12</v>
      </c>
      <c r="L128" s="1">
        <f t="shared" si="11"/>
        <v>4</v>
      </c>
      <c r="M128" s="7" t="s">
        <v>107</v>
      </c>
      <c r="N128" s="7" t="s">
        <v>352</v>
      </c>
      <c r="O128" s="5" t="s">
        <v>120</v>
      </c>
      <c r="P128" s="7" t="s">
        <v>110</v>
      </c>
      <c r="Q128" s="7" t="s">
        <v>110</v>
      </c>
      <c r="R128" s="7">
        <v>1</v>
      </c>
      <c r="S128" s="7">
        <v>6</v>
      </c>
      <c r="T128" s="7">
        <v>1.2564</v>
      </c>
      <c r="U128" s="5">
        <v>1</v>
      </c>
      <c r="Z128" s="8"/>
      <c r="AA128" s="8"/>
      <c r="AB128" s="8"/>
      <c r="AC128" s="8"/>
      <c r="AD128" s="8">
        <v>1</v>
      </c>
      <c r="AE128" s="8"/>
      <c r="AO128" s="7">
        <v>1</v>
      </c>
      <c r="AP128" s="7">
        <f t="shared" si="21"/>
        <v>0.1</v>
      </c>
      <c r="AQ128" s="7">
        <f t="shared" si="12"/>
        <v>0</v>
      </c>
      <c r="AR128" s="7">
        <f t="shared" si="13"/>
        <v>0</v>
      </c>
      <c r="AS128" s="7">
        <f t="shared" si="14"/>
        <v>0</v>
      </c>
      <c r="AT128" s="7">
        <f t="shared" si="15"/>
        <v>0</v>
      </c>
      <c r="AU128" s="7">
        <f t="shared" si="16"/>
        <v>0</v>
      </c>
      <c r="AV128" s="7">
        <f t="shared" si="17"/>
        <v>30</v>
      </c>
      <c r="AW128" s="7">
        <f t="shared" si="18"/>
        <v>0</v>
      </c>
      <c r="AX128" s="7">
        <f t="shared" si="19"/>
        <v>0</v>
      </c>
      <c r="AY128" s="7">
        <v>0</v>
      </c>
      <c r="AZ128" s="7">
        <v>29</v>
      </c>
      <c r="BA128" s="5">
        <v>29</v>
      </c>
      <c r="BB128" s="7">
        <v>0</v>
      </c>
      <c r="BC128" s="7">
        <v>31</v>
      </c>
      <c r="BD128" s="7">
        <f t="shared" si="20"/>
        <v>31</v>
      </c>
      <c r="BE128" s="5">
        <v>0</v>
      </c>
      <c r="BF128" s="5">
        <v>0</v>
      </c>
      <c r="BG128" s="5">
        <v>1700</v>
      </c>
      <c r="BH128" s="7">
        <v>15000</v>
      </c>
      <c r="BI128" s="7">
        <v>1000</v>
      </c>
      <c r="BJ128" s="7">
        <v>20</v>
      </c>
      <c r="BM128" s="5">
        <v>1</v>
      </c>
      <c r="BN128" s="5">
        <v>1</v>
      </c>
      <c r="CL128" s="5">
        <v>1</v>
      </c>
      <c r="CU128" s="5">
        <v>2</v>
      </c>
      <c r="CV128" s="5">
        <v>2</v>
      </c>
      <c r="CW128" s="5">
        <v>0</v>
      </c>
      <c r="CX128" s="7">
        <v>8</v>
      </c>
      <c r="CY128" s="5">
        <v>2</v>
      </c>
      <c r="DA128" s="5">
        <v>1</v>
      </c>
      <c r="DC128" s="5">
        <v>1</v>
      </c>
      <c r="DD128" s="5">
        <v>365</v>
      </c>
      <c r="DF128" s="5">
        <v>2</v>
      </c>
      <c r="DG128" s="5">
        <v>1</v>
      </c>
      <c r="DH128" s="5">
        <v>365</v>
      </c>
      <c r="DJ128" s="5">
        <v>1</v>
      </c>
      <c r="DK128" s="5">
        <v>1</v>
      </c>
      <c r="DL128" s="5">
        <v>365</v>
      </c>
      <c r="DM128" s="5">
        <v>1</v>
      </c>
      <c r="DO128" s="5">
        <v>1</v>
      </c>
      <c r="DQ128" s="5">
        <v>1</v>
      </c>
      <c r="DS128" s="5">
        <v>1</v>
      </c>
      <c r="DT128" s="5">
        <v>3</v>
      </c>
      <c r="DU128" s="5">
        <v>2</v>
      </c>
      <c r="DX128" s="7">
        <v>650</v>
      </c>
      <c r="DY128" s="7">
        <v>900</v>
      </c>
      <c r="EC128" s="5" t="s">
        <v>111</v>
      </c>
      <c r="ED128" s="5" t="s">
        <v>111</v>
      </c>
      <c r="EE128" s="5">
        <v>0</v>
      </c>
      <c r="EF128" s="5">
        <v>0</v>
      </c>
      <c r="EG128" s="5" t="s">
        <v>111</v>
      </c>
      <c r="EH128" s="5" t="s">
        <v>111</v>
      </c>
      <c r="EI128" s="5" t="s">
        <v>111</v>
      </c>
      <c r="EJ128" s="5" t="s">
        <v>114</v>
      </c>
      <c r="EK128" s="5">
        <v>14</v>
      </c>
      <c r="EL128" s="5">
        <v>26</v>
      </c>
    </row>
    <row r="129" spans="1:142" x14ac:dyDescent="0.25">
      <c r="A129" s="5">
        <v>7</v>
      </c>
      <c r="B129" s="5" t="s">
        <v>353</v>
      </c>
      <c r="C129" s="5" t="s">
        <v>354</v>
      </c>
      <c r="D129" s="6"/>
      <c r="E129" s="6"/>
      <c r="F129" s="47"/>
      <c r="G129" s="5">
        <v>0</v>
      </c>
      <c r="H129" s="5">
        <v>26</v>
      </c>
      <c r="I129" s="5">
        <v>2</v>
      </c>
      <c r="J129" s="5">
        <v>0</v>
      </c>
      <c r="K129" s="5">
        <v>13</v>
      </c>
      <c r="L129" s="1">
        <f t="shared" si="11"/>
        <v>5</v>
      </c>
      <c r="M129" s="7" t="s">
        <v>107</v>
      </c>
      <c r="N129" s="7" t="s">
        <v>117</v>
      </c>
      <c r="O129" s="5" t="s">
        <v>120</v>
      </c>
      <c r="P129" s="7" t="s">
        <v>110</v>
      </c>
      <c r="Q129" s="7" t="s">
        <v>110</v>
      </c>
      <c r="R129" s="7">
        <v>1</v>
      </c>
      <c r="S129" s="7">
        <v>6</v>
      </c>
      <c r="T129" s="7">
        <v>0</v>
      </c>
      <c r="U129" s="5">
        <v>1</v>
      </c>
      <c r="Z129" s="8"/>
      <c r="AA129" s="8"/>
      <c r="AB129" s="8"/>
      <c r="AC129" s="8">
        <v>1</v>
      </c>
      <c r="AD129" s="8"/>
      <c r="AE129" s="8"/>
      <c r="AO129" s="7">
        <v>1</v>
      </c>
      <c r="AP129" s="7">
        <f t="shared" si="21"/>
        <v>0.03</v>
      </c>
      <c r="AQ129" s="7">
        <f t="shared" si="12"/>
        <v>0</v>
      </c>
      <c r="AR129" s="7">
        <f t="shared" si="13"/>
        <v>0</v>
      </c>
      <c r="AS129" s="7">
        <f t="shared" si="14"/>
        <v>0</v>
      </c>
      <c r="AT129" s="7">
        <f t="shared" si="15"/>
        <v>0</v>
      </c>
      <c r="AU129" s="7">
        <f t="shared" si="16"/>
        <v>100</v>
      </c>
      <c r="AV129" s="7">
        <f t="shared" si="17"/>
        <v>0</v>
      </c>
      <c r="AW129" s="7">
        <f t="shared" si="18"/>
        <v>0</v>
      </c>
      <c r="AX129" s="7">
        <f t="shared" si="19"/>
        <v>100</v>
      </c>
      <c r="AY129" s="7">
        <v>0</v>
      </c>
      <c r="AZ129" s="7">
        <v>7</v>
      </c>
      <c r="BA129" s="5">
        <v>7</v>
      </c>
      <c r="BB129" s="7">
        <v>0</v>
      </c>
      <c r="BC129" s="7">
        <v>9</v>
      </c>
      <c r="BD129" s="7">
        <f t="shared" si="20"/>
        <v>9</v>
      </c>
      <c r="BE129" s="5">
        <v>0</v>
      </c>
      <c r="BF129" s="5">
        <v>0</v>
      </c>
      <c r="BG129" s="5">
        <v>500</v>
      </c>
      <c r="BH129" s="7">
        <v>15000</v>
      </c>
      <c r="BI129" s="7">
        <v>300</v>
      </c>
      <c r="BJ129" s="7">
        <v>6</v>
      </c>
      <c r="BP129" s="5">
        <v>1</v>
      </c>
      <c r="BU129" s="5">
        <v>1</v>
      </c>
      <c r="CH129" s="5">
        <v>1</v>
      </c>
      <c r="CU129" s="5">
        <v>2</v>
      </c>
      <c r="CV129" s="5">
        <v>2</v>
      </c>
      <c r="CW129" s="5">
        <v>0</v>
      </c>
      <c r="CX129" s="7">
        <v>8</v>
      </c>
      <c r="CY129" s="5">
        <v>2</v>
      </c>
      <c r="DA129" s="5">
        <v>1</v>
      </c>
      <c r="DD129" s="5">
        <v>365</v>
      </c>
      <c r="DF129" s="5">
        <v>2</v>
      </c>
      <c r="DH129" s="5">
        <v>365</v>
      </c>
      <c r="DJ129" s="5">
        <v>1</v>
      </c>
      <c r="DL129" s="5">
        <v>365</v>
      </c>
      <c r="DM129" s="5">
        <v>1</v>
      </c>
      <c r="DQ129" s="5">
        <v>1</v>
      </c>
      <c r="DT129" s="5">
        <v>3</v>
      </c>
      <c r="DU129" s="5">
        <v>1</v>
      </c>
      <c r="DX129" s="7">
        <v>650</v>
      </c>
      <c r="DY129" s="7">
        <v>900</v>
      </c>
      <c r="EC129" s="5" t="s">
        <v>111</v>
      </c>
      <c r="ED129" s="5" t="s">
        <v>111</v>
      </c>
      <c r="EE129" s="5">
        <v>0</v>
      </c>
      <c r="EF129" s="5">
        <v>0</v>
      </c>
      <c r="EG129" s="5" t="s">
        <v>111</v>
      </c>
      <c r="EH129" s="5" t="s">
        <v>111</v>
      </c>
      <c r="EI129" s="5" t="s">
        <v>111</v>
      </c>
      <c r="EJ129" s="5" t="s">
        <v>114</v>
      </c>
      <c r="EK129" s="5">
        <v>13</v>
      </c>
      <c r="EL129" s="5">
        <v>27</v>
      </c>
    </row>
    <row r="130" spans="1:142" x14ac:dyDescent="0.25">
      <c r="A130" s="5">
        <v>8</v>
      </c>
      <c r="B130" s="5" t="s">
        <v>355</v>
      </c>
      <c r="C130" s="5" t="s">
        <v>356</v>
      </c>
      <c r="D130" s="6"/>
      <c r="E130" s="6"/>
      <c r="F130" s="47"/>
      <c r="G130" s="5">
        <v>0</v>
      </c>
      <c r="H130" s="5">
        <v>31</v>
      </c>
      <c r="I130" s="5">
        <v>4</v>
      </c>
      <c r="J130" s="5">
        <v>1</v>
      </c>
      <c r="K130" s="5">
        <v>12</v>
      </c>
      <c r="L130" s="1">
        <f t="shared" si="11"/>
        <v>4</v>
      </c>
      <c r="M130" s="7" t="s">
        <v>107</v>
      </c>
      <c r="N130" s="7" t="s">
        <v>352</v>
      </c>
      <c r="O130" s="5" t="s">
        <v>120</v>
      </c>
      <c r="P130" s="7" t="s">
        <v>110</v>
      </c>
      <c r="Q130" s="7" t="s">
        <v>110</v>
      </c>
      <c r="R130" s="7">
        <v>1</v>
      </c>
      <c r="S130" s="7">
        <v>6</v>
      </c>
      <c r="T130" s="7">
        <v>0</v>
      </c>
      <c r="Z130" s="8"/>
      <c r="AA130" s="8"/>
      <c r="AB130" s="8"/>
      <c r="AC130" s="8">
        <v>1</v>
      </c>
      <c r="AD130" s="8"/>
      <c r="AE130" s="8">
        <v>1</v>
      </c>
      <c r="AO130" s="7">
        <v>2</v>
      </c>
      <c r="AP130" s="7">
        <f t="shared" si="21"/>
        <v>0.13</v>
      </c>
      <c r="AQ130" s="7">
        <f t="shared" si="12"/>
        <v>0</v>
      </c>
      <c r="AR130" s="7">
        <f t="shared" si="13"/>
        <v>0</v>
      </c>
      <c r="AS130" s="7">
        <f t="shared" si="14"/>
        <v>0</v>
      </c>
      <c r="AT130" s="7">
        <f t="shared" si="15"/>
        <v>0</v>
      </c>
      <c r="AU130" s="7">
        <f t="shared" si="16"/>
        <v>23.076923076923077</v>
      </c>
      <c r="AV130" s="7">
        <f t="shared" si="17"/>
        <v>0</v>
      </c>
      <c r="AW130" s="7">
        <f t="shared" si="18"/>
        <v>23.076923076923077</v>
      </c>
      <c r="AX130" s="7">
        <f t="shared" si="19"/>
        <v>46.153846153846153</v>
      </c>
      <c r="AY130" s="7">
        <v>0</v>
      </c>
      <c r="AZ130" s="7">
        <v>10.5</v>
      </c>
      <c r="BA130" s="5">
        <v>21</v>
      </c>
      <c r="BB130" s="7">
        <v>0</v>
      </c>
      <c r="BC130" s="7">
        <v>28</v>
      </c>
      <c r="BD130" s="7">
        <f t="shared" si="20"/>
        <v>14</v>
      </c>
      <c r="BE130" s="5">
        <v>1</v>
      </c>
      <c r="BF130" s="5">
        <v>200</v>
      </c>
      <c r="BG130" s="5">
        <v>1600</v>
      </c>
      <c r="BH130" s="7">
        <v>30000</v>
      </c>
      <c r="BI130" s="7">
        <v>1000</v>
      </c>
      <c r="BJ130" s="7">
        <v>20</v>
      </c>
      <c r="BM130" s="5">
        <v>1</v>
      </c>
      <c r="BP130" s="5">
        <v>1</v>
      </c>
      <c r="BU130" s="5">
        <v>1</v>
      </c>
      <c r="CE130" s="5">
        <v>1</v>
      </c>
      <c r="CU130" s="5">
        <v>6</v>
      </c>
      <c r="CV130" s="5">
        <v>2</v>
      </c>
      <c r="CW130" s="5">
        <v>0</v>
      </c>
      <c r="CX130" s="7">
        <v>8</v>
      </c>
      <c r="CY130" s="5">
        <v>4</v>
      </c>
      <c r="DA130" s="5">
        <v>1</v>
      </c>
      <c r="DD130" s="5">
        <v>365</v>
      </c>
      <c r="DF130" s="5">
        <v>1</v>
      </c>
      <c r="DH130" s="5">
        <v>365</v>
      </c>
      <c r="DJ130" s="5">
        <v>1</v>
      </c>
      <c r="DL130" s="5">
        <v>365</v>
      </c>
      <c r="DM130" s="5">
        <v>1</v>
      </c>
      <c r="DQ130" s="5">
        <v>1</v>
      </c>
      <c r="DT130" s="5">
        <v>3</v>
      </c>
      <c r="DU130" s="5">
        <v>2</v>
      </c>
      <c r="DX130" s="7">
        <v>800</v>
      </c>
      <c r="DY130" s="7">
        <v>1000</v>
      </c>
      <c r="EC130" s="5" t="s">
        <v>111</v>
      </c>
      <c r="ED130" s="5" t="s">
        <v>111</v>
      </c>
      <c r="EE130" s="5">
        <v>0</v>
      </c>
      <c r="EF130" s="5">
        <v>0</v>
      </c>
      <c r="EG130" s="5" t="s">
        <v>111</v>
      </c>
      <c r="EH130" s="5" t="s">
        <v>111</v>
      </c>
      <c r="EI130" s="5" t="s">
        <v>111</v>
      </c>
      <c r="EJ130" s="5" t="s">
        <v>114</v>
      </c>
      <c r="EK130" s="5">
        <v>13</v>
      </c>
      <c r="EL130" s="5">
        <v>27</v>
      </c>
    </row>
    <row r="131" spans="1:142" x14ac:dyDescent="0.25">
      <c r="A131" s="5">
        <v>9</v>
      </c>
      <c r="B131" s="5" t="s">
        <v>357</v>
      </c>
      <c r="C131" s="5" t="s">
        <v>358</v>
      </c>
      <c r="D131" s="6"/>
      <c r="E131" s="6"/>
      <c r="F131" s="47"/>
      <c r="G131" s="5">
        <v>0</v>
      </c>
      <c r="H131" s="5">
        <v>41</v>
      </c>
      <c r="I131" s="5">
        <v>6</v>
      </c>
      <c r="J131" s="5">
        <v>2</v>
      </c>
      <c r="K131" s="5">
        <v>5</v>
      </c>
      <c r="L131" s="1">
        <f t="shared" si="11"/>
        <v>1</v>
      </c>
      <c r="M131" s="7" t="s">
        <v>107</v>
      </c>
      <c r="N131" s="7" t="s">
        <v>340</v>
      </c>
      <c r="O131" s="5" t="s">
        <v>120</v>
      </c>
      <c r="P131" s="7" t="s">
        <v>110</v>
      </c>
      <c r="Q131" s="7" t="s">
        <v>110</v>
      </c>
      <c r="R131" s="7">
        <v>2</v>
      </c>
      <c r="S131" s="7">
        <v>5</v>
      </c>
      <c r="T131" s="7">
        <v>1.2564</v>
      </c>
      <c r="Z131" s="8"/>
      <c r="AA131" s="8"/>
      <c r="AB131" s="8">
        <v>2</v>
      </c>
      <c r="AC131" s="8"/>
      <c r="AD131" s="8"/>
      <c r="AE131" s="8"/>
      <c r="AO131" s="7">
        <v>2</v>
      </c>
      <c r="AP131" s="7">
        <f t="shared" si="21"/>
        <v>0.06</v>
      </c>
      <c r="AQ131" s="7">
        <f t="shared" si="12"/>
        <v>0</v>
      </c>
      <c r="AR131" s="7">
        <f t="shared" si="13"/>
        <v>0</v>
      </c>
      <c r="AS131" s="7">
        <f t="shared" si="14"/>
        <v>0</v>
      </c>
      <c r="AT131" s="7">
        <f t="shared" si="15"/>
        <v>100</v>
      </c>
      <c r="AU131" s="7">
        <f t="shared" si="16"/>
        <v>0</v>
      </c>
      <c r="AV131" s="7">
        <f t="shared" si="17"/>
        <v>0</v>
      </c>
      <c r="AW131" s="7">
        <f t="shared" si="18"/>
        <v>0</v>
      </c>
      <c r="AX131" s="7">
        <f t="shared" si="19"/>
        <v>0</v>
      </c>
      <c r="AY131" s="7">
        <v>0</v>
      </c>
      <c r="AZ131" s="7">
        <v>9</v>
      </c>
      <c r="BA131" s="5">
        <v>18</v>
      </c>
      <c r="BB131" s="7">
        <v>0</v>
      </c>
      <c r="BC131" s="7">
        <v>26</v>
      </c>
      <c r="BD131" s="7">
        <f t="shared" si="20"/>
        <v>13</v>
      </c>
      <c r="BE131" s="5">
        <v>0</v>
      </c>
      <c r="BF131" s="5">
        <v>0</v>
      </c>
      <c r="BG131" s="5">
        <v>1500</v>
      </c>
      <c r="BH131" s="7">
        <v>30000</v>
      </c>
      <c r="BI131" s="7">
        <v>900</v>
      </c>
      <c r="BJ131" s="7">
        <v>18</v>
      </c>
      <c r="BO131" s="5">
        <v>1</v>
      </c>
      <c r="BP131" s="5">
        <v>1</v>
      </c>
      <c r="BR131" s="5">
        <v>2</v>
      </c>
      <c r="CE131" s="5">
        <v>1</v>
      </c>
      <c r="CH131" s="5">
        <v>1</v>
      </c>
      <c r="CU131" s="5">
        <v>2</v>
      </c>
      <c r="CV131" s="5">
        <v>2</v>
      </c>
      <c r="CW131" s="5">
        <v>0</v>
      </c>
      <c r="CX131" s="7">
        <v>8</v>
      </c>
      <c r="CY131" s="5">
        <v>4</v>
      </c>
      <c r="DA131" s="5">
        <v>1</v>
      </c>
      <c r="DC131" s="5">
        <v>1</v>
      </c>
      <c r="DD131" s="5">
        <v>365</v>
      </c>
      <c r="DF131" s="5">
        <v>1</v>
      </c>
      <c r="DG131" s="5">
        <v>1</v>
      </c>
      <c r="DH131" s="5">
        <v>365</v>
      </c>
      <c r="DJ131" s="5">
        <v>1</v>
      </c>
      <c r="DK131" s="5">
        <v>1</v>
      </c>
      <c r="DL131" s="5">
        <v>365</v>
      </c>
      <c r="DM131" s="5">
        <v>1</v>
      </c>
      <c r="DO131" s="5">
        <v>1</v>
      </c>
      <c r="DQ131" s="5">
        <v>1</v>
      </c>
      <c r="DS131" s="5">
        <v>1</v>
      </c>
      <c r="DT131" s="5">
        <v>3</v>
      </c>
      <c r="DU131" s="5">
        <v>2</v>
      </c>
      <c r="DX131" s="7">
        <v>800</v>
      </c>
      <c r="DY131" s="7">
        <v>800</v>
      </c>
      <c r="EC131" s="5" t="s">
        <v>111</v>
      </c>
      <c r="ED131" s="5" t="s">
        <v>111</v>
      </c>
      <c r="EE131" s="5">
        <v>0</v>
      </c>
      <c r="EF131" s="5">
        <v>0</v>
      </c>
      <c r="EG131" s="5" t="s">
        <v>111</v>
      </c>
      <c r="EH131" s="5" t="s">
        <v>111</v>
      </c>
      <c r="EI131" s="5" t="s">
        <v>111</v>
      </c>
      <c r="EJ131" s="5" t="s">
        <v>114</v>
      </c>
      <c r="EK131" s="5">
        <v>14</v>
      </c>
      <c r="EL131" s="5">
        <v>27</v>
      </c>
    </row>
    <row r="132" spans="1:142" x14ac:dyDescent="0.25">
      <c r="A132" s="5">
        <v>10</v>
      </c>
      <c r="B132" s="5" t="s">
        <v>359</v>
      </c>
      <c r="C132" s="5" t="s">
        <v>360</v>
      </c>
      <c r="D132" s="6"/>
      <c r="E132" s="6"/>
      <c r="F132" s="47"/>
      <c r="G132" s="5">
        <v>0</v>
      </c>
      <c r="H132" s="5">
        <v>40</v>
      </c>
      <c r="I132" s="5">
        <v>8</v>
      </c>
      <c r="J132" s="5">
        <v>4</v>
      </c>
      <c r="K132" s="5">
        <v>8</v>
      </c>
      <c r="L132" s="1">
        <f t="shared" si="11"/>
        <v>2</v>
      </c>
      <c r="M132" s="7" t="s">
        <v>107</v>
      </c>
      <c r="N132" s="7" t="s">
        <v>340</v>
      </c>
      <c r="O132" s="5" t="s">
        <v>120</v>
      </c>
      <c r="P132" s="7" t="s">
        <v>110</v>
      </c>
      <c r="Q132" s="7" t="s">
        <v>110</v>
      </c>
      <c r="R132" s="7">
        <v>2</v>
      </c>
      <c r="S132" s="7">
        <v>2</v>
      </c>
      <c r="T132" s="7">
        <v>0</v>
      </c>
      <c r="Z132" s="8"/>
      <c r="AA132" s="8">
        <v>1</v>
      </c>
      <c r="AB132" s="8"/>
      <c r="AC132" s="8"/>
      <c r="AD132" s="8"/>
      <c r="AE132" s="8"/>
      <c r="AO132" s="7">
        <v>1</v>
      </c>
      <c r="AP132" s="7">
        <f t="shared" si="21"/>
        <v>0.03</v>
      </c>
      <c r="AQ132" s="7">
        <f t="shared" si="12"/>
        <v>100</v>
      </c>
      <c r="AR132" s="7">
        <f t="shared" si="13"/>
        <v>0</v>
      </c>
      <c r="AS132" s="7">
        <f t="shared" si="14"/>
        <v>1</v>
      </c>
      <c r="AT132" s="7">
        <f t="shared" si="15"/>
        <v>0</v>
      </c>
      <c r="AU132" s="7">
        <f t="shared" si="16"/>
        <v>0</v>
      </c>
      <c r="AV132" s="7">
        <f t="shared" si="17"/>
        <v>0</v>
      </c>
      <c r="AW132" s="7">
        <f t="shared" si="18"/>
        <v>0</v>
      </c>
      <c r="AX132" s="7">
        <f t="shared" si="19"/>
        <v>100</v>
      </c>
      <c r="AY132" s="7">
        <v>0</v>
      </c>
      <c r="AZ132" s="7">
        <v>3</v>
      </c>
      <c r="BA132" s="5">
        <v>3</v>
      </c>
      <c r="BB132" s="7">
        <v>0.5</v>
      </c>
      <c r="BC132" s="7">
        <v>5</v>
      </c>
      <c r="BD132" s="7">
        <f t="shared" si="20"/>
        <v>5</v>
      </c>
      <c r="BE132" s="5">
        <v>0</v>
      </c>
      <c r="BF132" s="5">
        <v>0</v>
      </c>
      <c r="BG132" s="5">
        <v>300</v>
      </c>
      <c r="BH132" s="7">
        <v>30000</v>
      </c>
      <c r="BI132" s="7">
        <v>200</v>
      </c>
      <c r="BJ132" s="7">
        <v>4</v>
      </c>
      <c r="BP132" s="5">
        <v>1</v>
      </c>
      <c r="BT132" s="5">
        <v>1</v>
      </c>
      <c r="CN132" s="5">
        <v>1</v>
      </c>
      <c r="CU132" s="5">
        <v>6</v>
      </c>
      <c r="CV132" s="5">
        <v>2</v>
      </c>
      <c r="CW132" s="5">
        <v>0</v>
      </c>
      <c r="CX132" s="7">
        <v>8</v>
      </c>
      <c r="CY132" s="5">
        <v>4</v>
      </c>
      <c r="DA132" s="5">
        <v>1</v>
      </c>
      <c r="DD132" s="5">
        <v>365</v>
      </c>
      <c r="DF132" s="5">
        <v>1</v>
      </c>
      <c r="DH132" s="5">
        <v>365</v>
      </c>
      <c r="DJ132" s="5">
        <v>1</v>
      </c>
      <c r="DL132" s="5">
        <v>365</v>
      </c>
      <c r="DM132" s="5">
        <v>1</v>
      </c>
      <c r="DQ132" s="5">
        <v>1</v>
      </c>
      <c r="DT132" s="5">
        <v>3</v>
      </c>
      <c r="DU132" s="5">
        <v>2</v>
      </c>
      <c r="DX132" s="7">
        <v>650</v>
      </c>
      <c r="DY132" s="7">
        <v>600</v>
      </c>
      <c r="EC132" s="5" t="s">
        <v>111</v>
      </c>
      <c r="ED132" s="5" t="s">
        <v>111</v>
      </c>
      <c r="EE132" s="5">
        <v>0</v>
      </c>
      <c r="EF132" s="5">
        <v>0</v>
      </c>
      <c r="EG132" s="5" t="s">
        <v>111</v>
      </c>
      <c r="EH132" s="5" t="s">
        <v>111</v>
      </c>
      <c r="EI132" s="5" t="s">
        <v>111</v>
      </c>
      <c r="EJ132" s="5" t="s">
        <v>114</v>
      </c>
      <c r="EK132" s="5">
        <v>14</v>
      </c>
      <c r="EL132" s="5">
        <v>27</v>
      </c>
    </row>
    <row r="133" spans="1:142" x14ac:dyDescent="0.25">
      <c r="A133" s="5">
        <v>11</v>
      </c>
      <c r="B133" s="5" t="s">
        <v>361</v>
      </c>
      <c r="C133" s="5" t="s">
        <v>362</v>
      </c>
      <c r="D133" s="6"/>
      <c r="E133" s="6"/>
      <c r="F133" s="47"/>
      <c r="G133" s="5">
        <v>0</v>
      </c>
      <c r="H133" s="5">
        <v>44</v>
      </c>
      <c r="I133" s="5">
        <v>6</v>
      </c>
      <c r="J133" s="5">
        <v>2</v>
      </c>
      <c r="K133" s="5">
        <v>0</v>
      </c>
      <c r="L133" s="1">
        <f t="shared" si="11"/>
        <v>0</v>
      </c>
      <c r="M133" s="7" t="s">
        <v>140</v>
      </c>
      <c r="N133" s="7" t="s">
        <v>363</v>
      </c>
      <c r="O133" s="5" t="s">
        <v>120</v>
      </c>
      <c r="P133" s="7" t="s">
        <v>110</v>
      </c>
      <c r="Q133" s="7" t="s">
        <v>110</v>
      </c>
      <c r="R133" s="7">
        <v>3</v>
      </c>
      <c r="S133" s="7">
        <v>4</v>
      </c>
      <c r="T133" s="7">
        <v>0.25287999999999999</v>
      </c>
      <c r="Z133" s="8"/>
      <c r="AA133" s="8">
        <v>1</v>
      </c>
      <c r="AB133" s="8"/>
      <c r="AC133" s="8"/>
      <c r="AD133" s="8">
        <v>1</v>
      </c>
      <c r="AE133" s="8">
        <v>1</v>
      </c>
      <c r="AO133" s="7">
        <v>3</v>
      </c>
      <c r="AP133" s="7">
        <f t="shared" si="21"/>
        <v>0.23</v>
      </c>
      <c r="AQ133" s="7">
        <f t="shared" si="12"/>
        <v>13.043478260869565</v>
      </c>
      <c r="AR133" s="7">
        <f t="shared" si="13"/>
        <v>0</v>
      </c>
      <c r="AS133" s="7">
        <f t="shared" si="14"/>
        <v>0.33333333333333331</v>
      </c>
      <c r="AT133" s="7">
        <f t="shared" si="15"/>
        <v>0</v>
      </c>
      <c r="AU133" s="7">
        <f t="shared" si="16"/>
        <v>0</v>
      </c>
      <c r="AV133" s="7">
        <f t="shared" si="17"/>
        <v>13.043478260869565</v>
      </c>
      <c r="AW133" s="7">
        <f t="shared" si="18"/>
        <v>13.043478260869565</v>
      </c>
      <c r="AX133" s="7">
        <f t="shared" si="19"/>
        <v>26.086956521739129</v>
      </c>
      <c r="AY133" s="7">
        <v>0</v>
      </c>
      <c r="AZ133" s="7">
        <v>21</v>
      </c>
      <c r="BA133" s="5">
        <v>63</v>
      </c>
      <c r="BB133" s="7">
        <v>0.5</v>
      </c>
      <c r="BC133" s="7">
        <v>76</v>
      </c>
      <c r="BD133" s="7">
        <f t="shared" si="20"/>
        <v>25.333333333333332</v>
      </c>
      <c r="BE133" s="5">
        <v>1</v>
      </c>
      <c r="BF133" s="5">
        <v>350</v>
      </c>
      <c r="BG133" s="5">
        <v>4100</v>
      </c>
      <c r="BH133" s="7">
        <v>30000</v>
      </c>
      <c r="BI133" s="7">
        <v>2500</v>
      </c>
      <c r="BJ133" s="7">
        <v>50</v>
      </c>
      <c r="BP133" s="5">
        <v>1</v>
      </c>
      <c r="BT133" s="5">
        <v>1</v>
      </c>
      <c r="CU133" s="5">
        <v>6</v>
      </c>
      <c r="CV133" s="5">
        <v>2</v>
      </c>
      <c r="CW133" s="5">
        <v>0</v>
      </c>
      <c r="CX133" s="7">
        <v>8</v>
      </c>
      <c r="CY133" s="5">
        <v>4</v>
      </c>
      <c r="DD133" s="5">
        <v>365</v>
      </c>
      <c r="DH133" s="5">
        <v>365</v>
      </c>
      <c r="DL133" s="5">
        <v>365</v>
      </c>
      <c r="DT133" s="5">
        <v>3</v>
      </c>
      <c r="DU133" s="5">
        <v>1</v>
      </c>
      <c r="DX133" s="7">
        <v>950</v>
      </c>
      <c r="DY133" s="7">
        <v>700</v>
      </c>
      <c r="EE133" s="5">
        <v>0</v>
      </c>
      <c r="EF133" s="5">
        <v>0</v>
      </c>
      <c r="EG133" s="5" t="s">
        <v>111</v>
      </c>
      <c r="EH133" s="5" t="s">
        <v>111</v>
      </c>
      <c r="EI133" s="5" t="s">
        <v>111</v>
      </c>
      <c r="EJ133" s="5" t="s">
        <v>114</v>
      </c>
      <c r="EK133" s="5">
        <v>13</v>
      </c>
      <c r="EL133" s="5">
        <v>26</v>
      </c>
    </row>
    <row r="134" spans="1:142" x14ac:dyDescent="0.25">
      <c r="A134" s="5">
        <v>12</v>
      </c>
      <c r="B134" s="5" t="s">
        <v>364</v>
      </c>
      <c r="C134" s="5" t="s">
        <v>365</v>
      </c>
      <c r="D134" s="6"/>
      <c r="E134" s="6"/>
      <c r="F134" s="47"/>
      <c r="G134" s="5">
        <v>0</v>
      </c>
      <c r="H134" s="5">
        <v>25</v>
      </c>
      <c r="I134" s="5">
        <v>2</v>
      </c>
      <c r="J134" s="5">
        <v>0</v>
      </c>
      <c r="K134" s="5">
        <v>12</v>
      </c>
      <c r="L134" s="1">
        <f t="shared" ref="L134:L197" si="22">IF(K134=0,0,IF(K134&lt;=5,1,IF(K134&lt;=9,2,IF(K134&lt;=11,3,IF(K134=12,4,IF(K134=13,5,""))))))</f>
        <v>4</v>
      </c>
      <c r="M134" s="7" t="s">
        <v>107</v>
      </c>
      <c r="N134" s="7" t="s">
        <v>108</v>
      </c>
      <c r="O134" s="5" t="s">
        <v>340</v>
      </c>
      <c r="P134" s="7" t="s">
        <v>110</v>
      </c>
      <c r="Q134" s="7" t="s">
        <v>110</v>
      </c>
      <c r="R134" s="7">
        <v>1</v>
      </c>
      <c r="S134" s="7">
        <v>3</v>
      </c>
      <c r="T134" s="7">
        <v>0.25287999999999999</v>
      </c>
      <c r="Z134" s="8">
        <v>1</v>
      </c>
      <c r="AA134" s="8">
        <v>1</v>
      </c>
      <c r="AB134" s="8"/>
      <c r="AC134" s="8"/>
      <c r="AD134" s="8"/>
      <c r="AE134" s="8">
        <v>1</v>
      </c>
      <c r="AO134" s="7">
        <v>3</v>
      </c>
      <c r="AP134" s="7">
        <f t="shared" si="21"/>
        <v>0.16</v>
      </c>
      <c r="AQ134" s="7">
        <f t="shared" ref="AQ134:AQ197" si="23">(((Z134+AA134)*0.03)/AP134)*100</f>
        <v>37.5</v>
      </c>
      <c r="AR134" s="7">
        <f t="shared" ref="AR134:AR197" si="24">Z134/AO134</f>
        <v>0.33333333333333331</v>
      </c>
      <c r="AS134" s="7">
        <f t="shared" ref="AS134:AS197" si="25">AA134/AO134</f>
        <v>0.33333333333333331</v>
      </c>
      <c r="AT134" s="7">
        <f t="shared" ref="AT134:AT197" si="26">((AB134*0.03)/AP134)*100</f>
        <v>0</v>
      </c>
      <c r="AU134" s="7">
        <f t="shared" ref="AU134:AU197" si="27">((AC134*0.03)/AP134)*100</f>
        <v>0</v>
      </c>
      <c r="AV134" s="7">
        <f t="shared" ref="AV134:AV197" si="28">((AD134*0.03)/AP134)*100</f>
        <v>0</v>
      </c>
      <c r="AW134" s="7">
        <f t="shared" ref="AW134:AW197" si="29">((AE134*0.03)/AP134)*100</f>
        <v>18.75</v>
      </c>
      <c r="AX134" s="7">
        <f t="shared" ref="AX134:AX197" si="30">(((AA134+AC134+AE134)*0.03)/AP134)*100</f>
        <v>37.5</v>
      </c>
      <c r="AY134" s="7">
        <v>0</v>
      </c>
      <c r="AZ134" s="7">
        <v>11</v>
      </c>
      <c r="BA134" s="5">
        <v>33</v>
      </c>
      <c r="BB134" s="7">
        <v>1</v>
      </c>
      <c r="BC134" s="7">
        <v>38</v>
      </c>
      <c r="BD134" s="7">
        <f t="shared" ref="BD134:BD197" si="31">BC134/AO134</f>
        <v>12.666666666666666</v>
      </c>
      <c r="BE134" s="5">
        <v>1</v>
      </c>
      <c r="BF134" s="5">
        <v>350</v>
      </c>
      <c r="BG134" s="5">
        <v>2100</v>
      </c>
      <c r="BH134" s="7">
        <v>30000</v>
      </c>
      <c r="BI134" s="7">
        <v>1400</v>
      </c>
      <c r="BJ134" s="7">
        <v>28</v>
      </c>
      <c r="BP134" s="5">
        <v>1</v>
      </c>
      <c r="BQ134" s="5">
        <v>1</v>
      </c>
      <c r="BT134" s="5">
        <v>1</v>
      </c>
      <c r="CU134" s="5">
        <v>6</v>
      </c>
      <c r="CV134" s="5">
        <v>2</v>
      </c>
      <c r="CW134" s="5">
        <v>0</v>
      </c>
      <c r="CX134" s="7">
        <v>8</v>
      </c>
      <c r="CY134" s="5">
        <v>4</v>
      </c>
      <c r="DA134" s="5">
        <v>1</v>
      </c>
      <c r="DD134" s="5">
        <v>365</v>
      </c>
      <c r="DF134" s="5">
        <v>2</v>
      </c>
      <c r="DH134" s="5">
        <v>365</v>
      </c>
      <c r="DJ134" s="5">
        <v>1</v>
      </c>
      <c r="DL134" s="5">
        <v>365</v>
      </c>
      <c r="DM134" s="5">
        <v>1</v>
      </c>
      <c r="DQ134" s="5">
        <v>1</v>
      </c>
      <c r="DT134" s="5">
        <v>3</v>
      </c>
      <c r="DU134" s="5">
        <v>1</v>
      </c>
      <c r="DX134" s="7">
        <v>950</v>
      </c>
      <c r="DY134" s="7">
        <v>1100</v>
      </c>
      <c r="EC134" s="5" t="s">
        <v>111</v>
      </c>
      <c r="ED134" s="5" t="s">
        <v>111</v>
      </c>
      <c r="EE134" s="5">
        <v>0</v>
      </c>
      <c r="EF134" s="5">
        <v>0</v>
      </c>
      <c r="EG134" s="5" t="s">
        <v>111</v>
      </c>
      <c r="EH134" s="5" t="s">
        <v>111</v>
      </c>
      <c r="EI134" s="5" t="s">
        <v>111</v>
      </c>
      <c r="EJ134" s="5" t="s">
        <v>114</v>
      </c>
      <c r="EK134" s="5">
        <v>14</v>
      </c>
      <c r="EL134" s="5">
        <v>26</v>
      </c>
    </row>
    <row r="135" spans="1:142" x14ac:dyDescent="0.25">
      <c r="A135" s="5">
        <v>13</v>
      </c>
      <c r="B135" s="5" t="s">
        <v>366</v>
      </c>
      <c r="C135" s="5" t="s">
        <v>367</v>
      </c>
      <c r="D135" s="6"/>
      <c r="E135" s="6"/>
      <c r="F135" s="47"/>
      <c r="G135" s="5">
        <v>0</v>
      </c>
      <c r="H135" s="5">
        <v>35</v>
      </c>
      <c r="I135" s="5">
        <v>5</v>
      </c>
      <c r="J135" s="5">
        <v>2</v>
      </c>
      <c r="K135" s="5">
        <v>12</v>
      </c>
      <c r="L135" s="1">
        <f t="shared" si="22"/>
        <v>4</v>
      </c>
      <c r="M135" s="7" t="s">
        <v>140</v>
      </c>
      <c r="N135" s="7" t="s">
        <v>368</v>
      </c>
      <c r="O135" s="5" t="s">
        <v>120</v>
      </c>
      <c r="P135" s="7" t="s">
        <v>110</v>
      </c>
      <c r="Q135" s="7" t="s">
        <v>110</v>
      </c>
      <c r="R135" s="7">
        <v>2</v>
      </c>
      <c r="S135" s="7">
        <v>2</v>
      </c>
      <c r="T135" s="7">
        <v>0</v>
      </c>
      <c r="Z135" s="8"/>
      <c r="AA135" s="8">
        <v>1</v>
      </c>
      <c r="AB135" s="8"/>
      <c r="AC135" s="8"/>
      <c r="AD135" s="8"/>
      <c r="AE135" s="8"/>
      <c r="AO135" s="7">
        <v>1</v>
      </c>
      <c r="AP135" s="7">
        <f t="shared" ref="AP135:AP198" si="32">(AD135+AE135)*0.1+(AB135+AC135+Z135+AA135)*0.03</f>
        <v>0.03</v>
      </c>
      <c r="AQ135" s="7">
        <f t="shared" si="23"/>
        <v>100</v>
      </c>
      <c r="AR135" s="7">
        <f t="shared" si="24"/>
        <v>0</v>
      </c>
      <c r="AS135" s="7">
        <f t="shared" si="25"/>
        <v>1</v>
      </c>
      <c r="AT135" s="7">
        <f t="shared" si="26"/>
        <v>0</v>
      </c>
      <c r="AU135" s="7">
        <f t="shared" si="27"/>
        <v>0</v>
      </c>
      <c r="AV135" s="7">
        <f t="shared" si="28"/>
        <v>0</v>
      </c>
      <c r="AW135" s="7">
        <f t="shared" si="29"/>
        <v>0</v>
      </c>
      <c r="AX135" s="7">
        <f t="shared" si="30"/>
        <v>100</v>
      </c>
      <c r="AY135" s="7">
        <v>0</v>
      </c>
      <c r="AZ135" s="7">
        <v>4</v>
      </c>
      <c r="BA135" s="5">
        <v>4</v>
      </c>
      <c r="BB135" s="7">
        <v>0</v>
      </c>
      <c r="BC135" s="7">
        <v>5</v>
      </c>
      <c r="BD135" s="7">
        <f t="shared" si="31"/>
        <v>5</v>
      </c>
      <c r="BE135" s="5">
        <v>0</v>
      </c>
      <c r="BF135" s="5">
        <v>0</v>
      </c>
      <c r="BG135" s="5">
        <v>300</v>
      </c>
      <c r="BH135" s="7">
        <v>15000</v>
      </c>
      <c r="BI135" s="7">
        <v>200</v>
      </c>
      <c r="BJ135" s="7">
        <v>4</v>
      </c>
      <c r="BZ135" s="5">
        <v>1</v>
      </c>
      <c r="CU135" s="5">
        <v>2</v>
      </c>
      <c r="CV135" s="5">
        <v>2</v>
      </c>
      <c r="CW135" s="5">
        <v>0</v>
      </c>
      <c r="CX135" s="7">
        <v>8</v>
      </c>
      <c r="CY135" s="5">
        <v>2</v>
      </c>
      <c r="DA135" s="5">
        <v>1</v>
      </c>
      <c r="DC135" s="5">
        <v>1</v>
      </c>
      <c r="DD135" s="5">
        <v>365</v>
      </c>
      <c r="DF135" s="5">
        <v>1</v>
      </c>
      <c r="DG135" s="5">
        <v>1</v>
      </c>
      <c r="DH135" s="5">
        <v>365</v>
      </c>
      <c r="DJ135" s="5">
        <v>1</v>
      </c>
      <c r="DK135" s="5">
        <v>1</v>
      </c>
      <c r="DL135" s="5">
        <v>365</v>
      </c>
      <c r="DM135" s="5">
        <v>1</v>
      </c>
      <c r="DO135" s="5">
        <v>1</v>
      </c>
      <c r="DQ135" s="5">
        <v>1</v>
      </c>
      <c r="DS135" s="5">
        <v>1</v>
      </c>
      <c r="DT135" s="5">
        <v>3</v>
      </c>
      <c r="DU135" s="5">
        <v>2</v>
      </c>
      <c r="DX135" s="7">
        <v>650</v>
      </c>
      <c r="DY135" s="7">
        <v>700</v>
      </c>
      <c r="EC135" s="5" t="s">
        <v>111</v>
      </c>
      <c r="ED135" s="5" t="s">
        <v>111</v>
      </c>
      <c r="EE135" s="5">
        <v>0</v>
      </c>
      <c r="EF135" s="5">
        <v>0</v>
      </c>
      <c r="EG135" s="5" t="s">
        <v>111</v>
      </c>
      <c r="EH135" s="5" t="s">
        <v>111</v>
      </c>
      <c r="EI135" s="5" t="s">
        <v>111</v>
      </c>
      <c r="EJ135" s="5" t="s">
        <v>114</v>
      </c>
      <c r="EK135" s="5">
        <v>13</v>
      </c>
      <c r="EL135" s="5">
        <v>27</v>
      </c>
    </row>
    <row r="136" spans="1:142" x14ac:dyDescent="0.25">
      <c r="A136" s="5">
        <v>14</v>
      </c>
      <c r="B136" s="5" t="s">
        <v>369</v>
      </c>
      <c r="C136" s="5" t="s">
        <v>370</v>
      </c>
      <c r="D136" s="6"/>
      <c r="E136" s="6"/>
      <c r="F136" s="47"/>
      <c r="G136" s="5">
        <v>0</v>
      </c>
      <c r="H136" s="5">
        <v>40</v>
      </c>
      <c r="I136" s="5">
        <v>6</v>
      </c>
      <c r="J136" s="5">
        <v>1</v>
      </c>
      <c r="K136" s="5">
        <v>0</v>
      </c>
      <c r="L136" s="1">
        <f t="shared" si="22"/>
        <v>0</v>
      </c>
      <c r="M136" s="7" t="s">
        <v>107</v>
      </c>
      <c r="N136" s="7" t="s">
        <v>340</v>
      </c>
      <c r="O136" s="5" t="s">
        <v>120</v>
      </c>
      <c r="P136" s="7" t="s">
        <v>110</v>
      </c>
      <c r="Q136" s="7" t="s">
        <v>110</v>
      </c>
      <c r="R136" s="7">
        <v>2</v>
      </c>
      <c r="S136" s="7">
        <v>2</v>
      </c>
      <c r="T136" s="7">
        <v>0</v>
      </c>
      <c r="Z136" s="8">
        <v>1</v>
      </c>
      <c r="AA136" s="8"/>
      <c r="AB136" s="8"/>
      <c r="AC136" s="8"/>
      <c r="AD136" s="8"/>
      <c r="AE136" s="8">
        <v>1</v>
      </c>
      <c r="AO136" s="7">
        <v>2</v>
      </c>
      <c r="AP136" s="7">
        <f t="shared" si="32"/>
        <v>0.13</v>
      </c>
      <c r="AQ136" s="7">
        <f t="shared" si="23"/>
        <v>23.076923076923077</v>
      </c>
      <c r="AR136" s="7">
        <f t="shared" si="24"/>
        <v>0.5</v>
      </c>
      <c r="AS136" s="7">
        <f t="shared" si="25"/>
        <v>0</v>
      </c>
      <c r="AT136" s="7">
        <f t="shared" si="26"/>
        <v>0</v>
      </c>
      <c r="AU136" s="7">
        <f t="shared" si="27"/>
        <v>0</v>
      </c>
      <c r="AV136" s="7">
        <f t="shared" si="28"/>
        <v>0</v>
      </c>
      <c r="AW136" s="7">
        <f t="shared" si="29"/>
        <v>23.076923076923077</v>
      </c>
      <c r="AX136" s="7">
        <f t="shared" si="30"/>
        <v>23.076923076923077</v>
      </c>
      <c r="AY136" s="7">
        <v>0</v>
      </c>
      <c r="AZ136" s="7">
        <v>9</v>
      </c>
      <c r="BA136" s="5">
        <v>18</v>
      </c>
      <c r="BB136" s="7">
        <v>0</v>
      </c>
      <c r="BC136" s="7">
        <v>24</v>
      </c>
      <c r="BD136" s="7">
        <f t="shared" si="31"/>
        <v>12</v>
      </c>
      <c r="BE136" s="5">
        <v>1</v>
      </c>
      <c r="BF136" s="5">
        <v>200</v>
      </c>
      <c r="BG136" s="5">
        <v>1300</v>
      </c>
      <c r="BH136" s="7">
        <v>15000</v>
      </c>
      <c r="BI136" s="7">
        <v>900</v>
      </c>
      <c r="BJ136" s="7">
        <v>18</v>
      </c>
      <c r="BP136" s="5">
        <v>1</v>
      </c>
      <c r="BW136" s="5">
        <v>1</v>
      </c>
      <c r="CU136" s="5">
        <v>2</v>
      </c>
      <c r="CV136" s="5">
        <v>2</v>
      </c>
      <c r="CW136" s="5">
        <v>0</v>
      </c>
      <c r="CX136" s="7">
        <v>8</v>
      </c>
      <c r="CY136" s="5">
        <v>2</v>
      </c>
      <c r="DA136" s="5">
        <v>1</v>
      </c>
      <c r="DB136" s="5">
        <v>1</v>
      </c>
      <c r="DD136" s="5">
        <v>365</v>
      </c>
      <c r="DF136" s="5">
        <v>2</v>
      </c>
      <c r="DH136" s="5">
        <v>365</v>
      </c>
      <c r="DJ136" s="5">
        <v>1</v>
      </c>
      <c r="DL136" s="5">
        <v>365</v>
      </c>
      <c r="DM136" s="5">
        <v>1</v>
      </c>
      <c r="DN136" s="5">
        <v>1</v>
      </c>
      <c r="DQ136" s="5">
        <v>1</v>
      </c>
      <c r="DT136" s="5">
        <v>3</v>
      </c>
      <c r="DU136" s="5">
        <v>1</v>
      </c>
      <c r="DX136" s="7">
        <v>800</v>
      </c>
      <c r="DY136" s="7">
        <v>600</v>
      </c>
      <c r="EC136" s="5" t="s">
        <v>111</v>
      </c>
      <c r="ED136" s="5" t="s">
        <v>111</v>
      </c>
      <c r="EE136" s="5">
        <v>0</v>
      </c>
      <c r="EF136" s="5">
        <v>0</v>
      </c>
      <c r="EG136" s="5" t="s">
        <v>111</v>
      </c>
      <c r="EH136" s="5" t="s">
        <v>111</v>
      </c>
      <c r="EI136" s="5" t="s">
        <v>111</v>
      </c>
      <c r="EJ136" s="5" t="s">
        <v>114</v>
      </c>
      <c r="EK136" s="5">
        <v>14</v>
      </c>
      <c r="EL136" s="5">
        <v>27</v>
      </c>
    </row>
    <row r="137" spans="1:142" x14ac:dyDescent="0.25">
      <c r="A137" s="5">
        <v>15</v>
      </c>
      <c r="B137" s="5" t="s">
        <v>371</v>
      </c>
      <c r="C137" s="5" t="s">
        <v>372</v>
      </c>
      <c r="D137" s="6"/>
      <c r="E137" s="6"/>
      <c r="F137" s="47"/>
      <c r="G137" s="5">
        <v>0</v>
      </c>
      <c r="H137" s="5">
        <v>33</v>
      </c>
      <c r="I137" s="5">
        <v>4</v>
      </c>
      <c r="J137" s="5">
        <v>0</v>
      </c>
      <c r="K137" s="5">
        <v>0</v>
      </c>
      <c r="L137" s="1">
        <f t="shared" si="22"/>
        <v>0</v>
      </c>
      <c r="M137" s="7" t="s">
        <v>140</v>
      </c>
      <c r="N137" s="7" t="s">
        <v>373</v>
      </c>
      <c r="O137" s="5" t="s">
        <v>120</v>
      </c>
      <c r="P137" s="7" t="s">
        <v>110</v>
      </c>
      <c r="Q137" s="7" t="s">
        <v>110</v>
      </c>
      <c r="R137" s="7">
        <v>1</v>
      </c>
      <c r="S137" s="7">
        <v>4</v>
      </c>
      <c r="T137" s="7">
        <v>0</v>
      </c>
      <c r="Z137" s="8"/>
      <c r="AA137" s="8"/>
      <c r="AB137" s="8">
        <v>1</v>
      </c>
      <c r="AC137" s="8"/>
      <c r="AD137" s="8"/>
      <c r="AE137" s="8"/>
      <c r="AO137" s="7">
        <v>1</v>
      </c>
      <c r="AP137" s="7">
        <f t="shared" si="32"/>
        <v>0.03</v>
      </c>
      <c r="AQ137" s="7">
        <f t="shared" si="23"/>
        <v>0</v>
      </c>
      <c r="AR137" s="7">
        <f t="shared" si="24"/>
        <v>0</v>
      </c>
      <c r="AS137" s="7">
        <f t="shared" si="25"/>
        <v>0</v>
      </c>
      <c r="AT137" s="7">
        <f t="shared" si="26"/>
        <v>100</v>
      </c>
      <c r="AU137" s="7">
        <f t="shared" si="27"/>
        <v>0</v>
      </c>
      <c r="AV137" s="7">
        <f t="shared" si="28"/>
        <v>0</v>
      </c>
      <c r="AW137" s="7">
        <f t="shared" si="29"/>
        <v>0</v>
      </c>
      <c r="AX137" s="7">
        <f t="shared" si="30"/>
        <v>0</v>
      </c>
      <c r="AY137" s="7">
        <v>0</v>
      </c>
      <c r="AZ137" s="7">
        <v>8</v>
      </c>
      <c r="BA137" s="5">
        <v>8</v>
      </c>
      <c r="BB137" s="7">
        <v>0</v>
      </c>
      <c r="BC137" s="7">
        <v>13</v>
      </c>
      <c r="BD137" s="7">
        <f t="shared" si="31"/>
        <v>13</v>
      </c>
      <c r="BE137" s="5">
        <v>0</v>
      </c>
      <c r="BF137" s="5">
        <v>0</v>
      </c>
      <c r="BG137" s="5">
        <v>700</v>
      </c>
      <c r="BH137" s="7">
        <v>30000</v>
      </c>
      <c r="BI137" s="7">
        <v>500</v>
      </c>
      <c r="BJ137" s="7">
        <v>10</v>
      </c>
      <c r="BW137" s="5">
        <v>1</v>
      </c>
      <c r="CU137" s="5">
        <v>2</v>
      </c>
      <c r="CV137" s="5">
        <v>2</v>
      </c>
      <c r="CW137" s="5">
        <v>0</v>
      </c>
      <c r="CX137" s="7">
        <v>8</v>
      </c>
      <c r="CY137" s="5">
        <v>4</v>
      </c>
      <c r="DA137" s="5">
        <v>1</v>
      </c>
      <c r="DC137" s="5">
        <v>1</v>
      </c>
      <c r="DD137" s="5">
        <v>365</v>
      </c>
      <c r="DF137" s="5">
        <v>1</v>
      </c>
      <c r="DG137" s="5">
        <v>1</v>
      </c>
      <c r="DH137" s="5">
        <v>365</v>
      </c>
      <c r="DJ137" s="5">
        <v>1</v>
      </c>
      <c r="DK137" s="5">
        <v>1</v>
      </c>
      <c r="DL137" s="5">
        <v>365</v>
      </c>
      <c r="DM137" s="5">
        <v>1</v>
      </c>
      <c r="DO137" s="5">
        <v>1</v>
      </c>
      <c r="DQ137" s="5">
        <v>1</v>
      </c>
      <c r="DS137" s="5">
        <v>1</v>
      </c>
      <c r="DT137" s="5">
        <v>3</v>
      </c>
      <c r="DU137" s="5">
        <v>1</v>
      </c>
      <c r="DX137" s="7">
        <v>650</v>
      </c>
      <c r="DY137" s="7">
        <v>600</v>
      </c>
      <c r="EC137" s="5" t="s">
        <v>111</v>
      </c>
      <c r="ED137" s="5" t="s">
        <v>111</v>
      </c>
      <c r="EE137" s="5">
        <v>0</v>
      </c>
      <c r="EF137" s="5">
        <v>0</v>
      </c>
      <c r="EG137" s="5" t="s">
        <v>111</v>
      </c>
      <c r="EH137" s="5" t="s">
        <v>111</v>
      </c>
      <c r="EI137" s="5" t="s">
        <v>111</v>
      </c>
      <c r="EJ137" s="5" t="s">
        <v>114</v>
      </c>
      <c r="EK137" s="5">
        <v>13</v>
      </c>
      <c r="EL137" s="5">
        <v>26</v>
      </c>
    </row>
    <row r="138" spans="1:142" x14ac:dyDescent="0.25">
      <c r="A138" s="5">
        <v>16</v>
      </c>
      <c r="B138" s="5" t="s">
        <v>374</v>
      </c>
      <c r="C138" s="5" t="s">
        <v>375</v>
      </c>
      <c r="D138" s="6"/>
      <c r="E138" s="6"/>
      <c r="F138" s="47"/>
      <c r="G138" s="5">
        <v>0</v>
      </c>
      <c r="H138" s="5">
        <v>34</v>
      </c>
      <c r="I138" s="5">
        <v>4</v>
      </c>
      <c r="J138" s="5">
        <v>1</v>
      </c>
      <c r="K138" s="5">
        <v>12</v>
      </c>
      <c r="L138" s="1">
        <f t="shared" si="22"/>
        <v>4</v>
      </c>
      <c r="M138" s="7" t="s">
        <v>107</v>
      </c>
      <c r="N138" s="7" t="s">
        <v>376</v>
      </c>
      <c r="O138" s="5" t="s">
        <v>120</v>
      </c>
      <c r="P138" s="7" t="s">
        <v>110</v>
      </c>
      <c r="Q138" s="7" t="s">
        <v>110</v>
      </c>
      <c r="R138" s="7">
        <v>2</v>
      </c>
      <c r="S138" s="7">
        <v>3</v>
      </c>
      <c r="T138" s="7">
        <v>0</v>
      </c>
      <c r="Z138" s="8"/>
      <c r="AA138" s="8"/>
      <c r="AB138" s="8">
        <v>1</v>
      </c>
      <c r="AC138" s="8"/>
      <c r="AD138" s="8">
        <v>1</v>
      </c>
      <c r="AE138" s="8"/>
      <c r="AL138" s="5">
        <v>1</v>
      </c>
      <c r="AM138" s="5">
        <v>3</v>
      </c>
      <c r="AO138" s="7">
        <v>2</v>
      </c>
      <c r="AP138" s="7">
        <f t="shared" si="32"/>
        <v>0.13</v>
      </c>
      <c r="AQ138" s="7">
        <f t="shared" si="23"/>
        <v>0</v>
      </c>
      <c r="AR138" s="7">
        <f t="shared" si="24"/>
        <v>0</v>
      </c>
      <c r="AS138" s="7">
        <f t="shared" si="25"/>
        <v>0</v>
      </c>
      <c r="AT138" s="7">
        <f t="shared" si="26"/>
        <v>23.076923076923077</v>
      </c>
      <c r="AU138" s="7">
        <f t="shared" si="27"/>
        <v>0</v>
      </c>
      <c r="AV138" s="7">
        <f t="shared" si="28"/>
        <v>23.076923076923077</v>
      </c>
      <c r="AW138" s="7">
        <f t="shared" si="29"/>
        <v>0</v>
      </c>
      <c r="AX138" s="7">
        <f t="shared" si="30"/>
        <v>0</v>
      </c>
      <c r="AY138" s="7">
        <v>0</v>
      </c>
      <c r="AZ138" s="7">
        <v>20</v>
      </c>
      <c r="BA138" s="5">
        <v>40</v>
      </c>
      <c r="BB138" s="7">
        <v>0</v>
      </c>
      <c r="BC138" s="7">
        <v>45</v>
      </c>
      <c r="BD138" s="7">
        <f t="shared" si="31"/>
        <v>22.5</v>
      </c>
      <c r="BE138" s="5">
        <v>0</v>
      </c>
      <c r="BF138" s="5">
        <v>0</v>
      </c>
      <c r="BG138" s="5">
        <v>2500</v>
      </c>
      <c r="BH138" s="7">
        <v>30000</v>
      </c>
      <c r="BI138" s="7">
        <v>1600</v>
      </c>
      <c r="BJ138" s="7">
        <v>32</v>
      </c>
      <c r="BM138" s="5">
        <v>1</v>
      </c>
      <c r="BP138" s="5">
        <v>1</v>
      </c>
      <c r="BR138" s="5">
        <v>1</v>
      </c>
      <c r="CU138" s="5">
        <v>2</v>
      </c>
      <c r="CV138" s="5">
        <v>2</v>
      </c>
      <c r="CW138" s="5">
        <v>0</v>
      </c>
      <c r="CX138" s="7">
        <v>8</v>
      </c>
      <c r="CY138" s="5">
        <v>4</v>
      </c>
      <c r="DA138" s="5">
        <v>1</v>
      </c>
      <c r="DD138" s="5">
        <v>365</v>
      </c>
      <c r="DF138" s="5">
        <v>1</v>
      </c>
      <c r="DH138" s="5">
        <v>365</v>
      </c>
      <c r="DJ138" s="5">
        <v>1</v>
      </c>
      <c r="DL138" s="5">
        <v>365</v>
      </c>
      <c r="DM138" s="5">
        <v>1</v>
      </c>
      <c r="DQ138" s="5">
        <v>1</v>
      </c>
      <c r="DT138" s="5">
        <v>3</v>
      </c>
      <c r="DU138" s="5">
        <v>3</v>
      </c>
      <c r="DV138" s="7">
        <v>127000</v>
      </c>
      <c r="DX138" s="7">
        <v>800</v>
      </c>
      <c r="DY138" s="7">
        <v>900</v>
      </c>
      <c r="EC138" s="5" t="s">
        <v>111</v>
      </c>
      <c r="ED138" s="5" t="s">
        <v>111</v>
      </c>
      <c r="EE138" s="5">
        <v>0</v>
      </c>
      <c r="EF138" s="5">
        <v>0</v>
      </c>
      <c r="EG138" s="5" t="s">
        <v>111</v>
      </c>
      <c r="EH138" s="5" t="s">
        <v>111</v>
      </c>
      <c r="EI138" s="5" t="s">
        <v>111</v>
      </c>
      <c r="EJ138" s="5" t="s">
        <v>114</v>
      </c>
      <c r="EK138" s="5">
        <v>13</v>
      </c>
      <c r="EL138" s="5">
        <v>26</v>
      </c>
    </row>
    <row r="139" spans="1:142" x14ac:dyDescent="0.25">
      <c r="A139" s="5">
        <v>17</v>
      </c>
      <c r="B139" s="5" t="s">
        <v>377</v>
      </c>
      <c r="C139" s="5" t="s">
        <v>378</v>
      </c>
      <c r="D139" s="6"/>
      <c r="E139" s="6"/>
      <c r="F139" s="47"/>
      <c r="G139" s="5">
        <v>0</v>
      </c>
      <c r="H139" s="5">
        <v>29</v>
      </c>
      <c r="I139" s="5">
        <v>3</v>
      </c>
      <c r="J139" s="5">
        <v>0</v>
      </c>
      <c r="K139" s="5">
        <v>12</v>
      </c>
      <c r="L139" s="1">
        <f t="shared" si="22"/>
        <v>4</v>
      </c>
      <c r="M139" s="7" t="s">
        <v>140</v>
      </c>
      <c r="N139" s="7" t="s">
        <v>379</v>
      </c>
      <c r="O139" s="5" t="s">
        <v>380</v>
      </c>
      <c r="P139" s="7" t="s">
        <v>110</v>
      </c>
      <c r="Q139" s="7" t="s">
        <v>110</v>
      </c>
      <c r="R139" s="7">
        <v>1</v>
      </c>
      <c r="S139" s="7">
        <v>6</v>
      </c>
      <c r="T139" s="7">
        <v>0</v>
      </c>
      <c r="Z139" s="8">
        <v>1</v>
      </c>
      <c r="AA139" s="8"/>
      <c r="AB139" s="8"/>
      <c r="AC139" s="8"/>
      <c r="AD139" s="8">
        <v>1</v>
      </c>
      <c r="AE139" s="8">
        <v>1</v>
      </c>
      <c r="AO139" s="7">
        <v>3</v>
      </c>
      <c r="AP139" s="7">
        <f t="shared" si="32"/>
        <v>0.23</v>
      </c>
      <c r="AQ139" s="7">
        <f t="shared" si="23"/>
        <v>13.043478260869565</v>
      </c>
      <c r="AR139" s="7">
        <f t="shared" si="24"/>
        <v>0.33333333333333331</v>
      </c>
      <c r="AS139" s="7">
        <f t="shared" si="25"/>
        <v>0</v>
      </c>
      <c r="AT139" s="7">
        <f t="shared" si="26"/>
        <v>0</v>
      </c>
      <c r="AU139" s="7">
        <f t="shared" si="27"/>
        <v>0</v>
      </c>
      <c r="AV139" s="7">
        <f t="shared" si="28"/>
        <v>13.043478260869565</v>
      </c>
      <c r="AW139" s="7">
        <f t="shared" si="29"/>
        <v>13.043478260869565</v>
      </c>
      <c r="AX139" s="7">
        <f t="shared" si="30"/>
        <v>13.043478260869565</v>
      </c>
      <c r="AY139" s="7">
        <v>0</v>
      </c>
      <c r="AZ139" s="7">
        <v>22.666666670000001</v>
      </c>
      <c r="BA139" s="5">
        <v>68</v>
      </c>
      <c r="BB139" s="7">
        <v>0.5</v>
      </c>
      <c r="BC139" s="7">
        <v>82</v>
      </c>
      <c r="BD139" s="7">
        <f t="shared" si="31"/>
        <v>27.333333333333332</v>
      </c>
      <c r="BE139" s="5">
        <v>1</v>
      </c>
      <c r="BF139" s="5">
        <v>500</v>
      </c>
      <c r="BG139" s="5">
        <v>4500</v>
      </c>
      <c r="BH139" s="7">
        <v>30000</v>
      </c>
      <c r="BI139" s="7">
        <v>2800</v>
      </c>
      <c r="BJ139" s="7">
        <v>56</v>
      </c>
      <c r="BM139" s="5">
        <v>1</v>
      </c>
      <c r="BP139" s="5">
        <v>1</v>
      </c>
      <c r="BQ139" s="5">
        <v>1</v>
      </c>
      <c r="CU139" s="5">
        <v>2</v>
      </c>
      <c r="CV139" s="5">
        <v>2</v>
      </c>
      <c r="CW139" s="5">
        <v>0</v>
      </c>
      <c r="CX139" s="7">
        <v>8</v>
      </c>
      <c r="CY139" s="5">
        <v>4</v>
      </c>
      <c r="DA139" s="5">
        <v>1</v>
      </c>
      <c r="DD139" s="5">
        <v>365</v>
      </c>
      <c r="DF139" s="5">
        <v>1</v>
      </c>
      <c r="DH139" s="5">
        <v>365</v>
      </c>
      <c r="DJ139" s="5">
        <v>1</v>
      </c>
      <c r="DL139" s="5">
        <v>365</v>
      </c>
      <c r="DM139" s="5">
        <v>1</v>
      </c>
      <c r="DQ139" s="5">
        <v>1</v>
      </c>
      <c r="DT139" s="5">
        <v>3</v>
      </c>
      <c r="DU139" s="5">
        <v>3</v>
      </c>
      <c r="DV139" s="7">
        <v>223000</v>
      </c>
      <c r="DX139" s="7">
        <v>950</v>
      </c>
      <c r="DY139" s="7">
        <v>1200</v>
      </c>
      <c r="EC139" s="5" t="s">
        <v>111</v>
      </c>
      <c r="ED139" s="5" t="s">
        <v>111</v>
      </c>
      <c r="EE139" s="5">
        <v>0</v>
      </c>
      <c r="EF139" s="5">
        <v>0</v>
      </c>
      <c r="EG139" s="5" t="s">
        <v>111</v>
      </c>
      <c r="EH139" s="5" t="s">
        <v>111</v>
      </c>
      <c r="EI139" s="5" t="s">
        <v>111</v>
      </c>
      <c r="EJ139" s="5" t="s">
        <v>114</v>
      </c>
      <c r="EK139" s="5">
        <v>13</v>
      </c>
      <c r="EL139" s="5">
        <v>27</v>
      </c>
    </row>
    <row r="140" spans="1:142" x14ac:dyDescent="0.25">
      <c r="A140" s="5">
        <v>18</v>
      </c>
      <c r="B140" s="5" t="s">
        <v>381</v>
      </c>
      <c r="C140" s="5" t="s">
        <v>382</v>
      </c>
      <c r="D140" s="6"/>
      <c r="E140" s="6"/>
      <c r="F140" s="47"/>
      <c r="G140" s="5">
        <v>0</v>
      </c>
      <c r="H140" s="5">
        <v>60</v>
      </c>
      <c r="I140" s="5">
        <v>14</v>
      </c>
      <c r="J140" s="5">
        <v>10</v>
      </c>
      <c r="K140" s="5">
        <v>10</v>
      </c>
      <c r="L140" s="1">
        <f t="shared" si="22"/>
        <v>3</v>
      </c>
      <c r="M140" s="7" t="s">
        <v>107</v>
      </c>
      <c r="N140" s="7" t="s">
        <v>373</v>
      </c>
      <c r="O140" s="5" t="s">
        <v>120</v>
      </c>
      <c r="P140" s="7" t="s">
        <v>110</v>
      </c>
      <c r="Q140" s="7" t="s">
        <v>110</v>
      </c>
      <c r="R140" s="7">
        <v>3</v>
      </c>
      <c r="S140" s="7">
        <v>6</v>
      </c>
      <c r="T140" s="7">
        <v>1.2564</v>
      </c>
      <c r="Z140" s="8">
        <v>1</v>
      </c>
      <c r="AA140" s="8"/>
      <c r="AB140" s="8"/>
      <c r="AC140" s="8"/>
      <c r="AD140" s="8">
        <v>1</v>
      </c>
      <c r="AE140" s="8"/>
      <c r="AO140" s="7">
        <v>2</v>
      </c>
      <c r="AP140" s="7">
        <f t="shared" si="32"/>
        <v>0.13</v>
      </c>
      <c r="AQ140" s="7">
        <f t="shared" si="23"/>
        <v>23.076923076923077</v>
      </c>
      <c r="AR140" s="7">
        <f t="shared" si="24"/>
        <v>0.5</v>
      </c>
      <c r="AS140" s="7">
        <f t="shared" si="25"/>
        <v>0</v>
      </c>
      <c r="AT140" s="7">
        <f t="shared" si="26"/>
        <v>0</v>
      </c>
      <c r="AU140" s="7">
        <f t="shared" si="27"/>
        <v>0</v>
      </c>
      <c r="AV140" s="7">
        <f t="shared" si="28"/>
        <v>23.076923076923077</v>
      </c>
      <c r="AW140" s="7">
        <f t="shared" si="29"/>
        <v>0</v>
      </c>
      <c r="AX140" s="7">
        <f t="shared" si="30"/>
        <v>0</v>
      </c>
      <c r="AY140" s="7">
        <v>0</v>
      </c>
      <c r="AZ140" s="7">
        <v>15.5</v>
      </c>
      <c r="BA140" s="5">
        <v>31</v>
      </c>
      <c r="BB140" s="7">
        <v>0</v>
      </c>
      <c r="BC140" s="7">
        <v>36</v>
      </c>
      <c r="BD140" s="7">
        <f t="shared" si="31"/>
        <v>18</v>
      </c>
      <c r="BE140" s="5">
        <v>0</v>
      </c>
      <c r="BF140" s="5">
        <v>0</v>
      </c>
      <c r="BG140" s="5">
        <v>2000</v>
      </c>
      <c r="BH140" s="7">
        <v>15000</v>
      </c>
      <c r="BI140" s="7">
        <v>1200</v>
      </c>
      <c r="BJ140" s="7">
        <v>24</v>
      </c>
      <c r="BM140" s="5">
        <v>1</v>
      </c>
      <c r="BW140" s="5">
        <v>1</v>
      </c>
      <c r="CU140" s="5">
        <v>6</v>
      </c>
      <c r="CV140" s="5">
        <v>2</v>
      </c>
      <c r="CW140" s="5">
        <v>0</v>
      </c>
      <c r="CX140" s="7">
        <v>8</v>
      </c>
      <c r="CY140" s="5">
        <v>2</v>
      </c>
      <c r="DA140" s="5">
        <v>1</v>
      </c>
      <c r="DD140" s="5">
        <v>365</v>
      </c>
      <c r="DF140" s="5">
        <v>1</v>
      </c>
      <c r="DH140" s="5">
        <v>365</v>
      </c>
      <c r="DJ140" s="5">
        <v>1</v>
      </c>
      <c r="DL140" s="5">
        <v>365</v>
      </c>
      <c r="DM140" s="5">
        <v>1</v>
      </c>
      <c r="DQ140" s="5">
        <v>1</v>
      </c>
      <c r="DT140" s="5">
        <v>3</v>
      </c>
      <c r="DU140" s="5">
        <v>1</v>
      </c>
      <c r="DX140" s="7">
        <v>800</v>
      </c>
      <c r="DY140" s="7">
        <v>900</v>
      </c>
      <c r="EC140" s="5" t="s">
        <v>111</v>
      </c>
      <c r="ED140" s="5" t="s">
        <v>111</v>
      </c>
      <c r="EE140" s="5">
        <v>0</v>
      </c>
      <c r="EF140" s="5">
        <v>0</v>
      </c>
      <c r="EG140" s="5" t="s">
        <v>111</v>
      </c>
      <c r="EH140" s="5" t="s">
        <v>111</v>
      </c>
      <c r="EI140" s="5" t="s">
        <v>111</v>
      </c>
      <c r="EJ140" s="5" t="s">
        <v>114</v>
      </c>
      <c r="EK140" s="5">
        <v>13</v>
      </c>
      <c r="EL140" s="5">
        <v>27</v>
      </c>
    </row>
    <row r="141" spans="1:142" x14ac:dyDescent="0.25">
      <c r="A141" s="5">
        <v>19</v>
      </c>
      <c r="B141" s="5" t="s">
        <v>383</v>
      </c>
      <c r="C141" s="5" t="s">
        <v>384</v>
      </c>
      <c r="D141" s="6"/>
      <c r="E141" s="6"/>
      <c r="F141" s="47"/>
      <c r="G141" s="5">
        <v>0</v>
      </c>
      <c r="H141" s="5">
        <v>55</v>
      </c>
      <c r="I141" s="5">
        <v>15</v>
      </c>
      <c r="J141" s="5">
        <v>12</v>
      </c>
      <c r="K141" s="1">
        <v>8</v>
      </c>
      <c r="L141" s="1">
        <f t="shared" si="22"/>
        <v>2</v>
      </c>
      <c r="M141" s="7" t="s">
        <v>140</v>
      </c>
      <c r="N141" s="7" t="s">
        <v>385</v>
      </c>
      <c r="O141" s="5" t="s">
        <v>386</v>
      </c>
      <c r="P141" s="7" t="s">
        <v>110</v>
      </c>
      <c r="Q141" s="7" t="s">
        <v>110</v>
      </c>
      <c r="R141" s="7">
        <v>3</v>
      </c>
      <c r="S141" s="7">
        <v>4</v>
      </c>
      <c r="T141" s="7">
        <v>7.47342</v>
      </c>
      <c r="Z141" s="8"/>
      <c r="AA141" s="8"/>
      <c r="AB141" s="8"/>
      <c r="AC141" s="8">
        <v>1</v>
      </c>
      <c r="AD141" s="8"/>
      <c r="AE141" s="8"/>
      <c r="AO141" s="7">
        <v>1</v>
      </c>
      <c r="AP141" s="7">
        <f t="shared" si="32"/>
        <v>0.03</v>
      </c>
      <c r="AQ141" s="7">
        <f t="shared" si="23"/>
        <v>0</v>
      </c>
      <c r="AR141" s="7">
        <f t="shared" si="24"/>
        <v>0</v>
      </c>
      <c r="AS141" s="7">
        <f t="shared" si="25"/>
        <v>0</v>
      </c>
      <c r="AT141" s="7">
        <f t="shared" si="26"/>
        <v>0</v>
      </c>
      <c r="AU141" s="7">
        <f t="shared" si="27"/>
        <v>100</v>
      </c>
      <c r="AV141" s="7">
        <f t="shared" si="28"/>
        <v>0</v>
      </c>
      <c r="AW141" s="7">
        <f t="shared" si="29"/>
        <v>0</v>
      </c>
      <c r="AX141" s="7">
        <f t="shared" si="30"/>
        <v>100</v>
      </c>
      <c r="AY141" s="7">
        <v>0</v>
      </c>
      <c r="AZ141" s="7">
        <v>6</v>
      </c>
      <c r="BA141" s="5">
        <v>6</v>
      </c>
      <c r="BB141" s="7">
        <v>0</v>
      </c>
      <c r="BC141" s="7">
        <v>7</v>
      </c>
      <c r="BD141" s="7">
        <f t="shared" si="31"/>
        <v>7</v>
      </c>
      <c r="BE141" s="5">
        <v>0</v>
      </c>
      <c r="BF141" s="5">
        <v>0</v>
      </c>
      <c r="BG141" s="5">
        <v>400</v>
      </c>
      <c r="BH141" s="7">
        <v>30000</v>
      </c>
      <c r="BI141" s="7">
        <v>300</v>
      </c>
      <c r="BJ141" s="7">
        <v>6</v>
      </c>
      <c r="BP141" s="5">
        <v>1</v>
      </c>
      <c r="BU141" s="5">
        <v>1</v>
      </c>
      <c r="CU141" s="5">
        <v>2</v>
      </c>
      <c r="CV141" s="5">
        <v>2</v>
      </c>
      <c r="CW141" s="5">
        <v>0</v>
      </c>
      <c r="CX141" s="7">
        <v>8</v>
      </c>
      <c r="CY141" s="5">
        <v>4</v>
      </c>
      <c r="DA141" s="5">
        <v>1</v>
      </c>
      <c r="DC141" s="5">
        <v>1</v>
      </c>
      <c r="DD141" s="5">
        <v>365</v>
      </c>
      <c r="DF141" s="5">
        <v>1</v>
      </c>
      <c r="DG141" s="5">
        <v>1</v>
      </c>
      <c r="DH141" s="5">
        <v>365</v>
      </c>
      <c r="DJ141" s="5">
        <v>1</v>
      </c>
      <c r="DK141" s="5">
        <v>1</v>
      </c>
      <c r="DL141" s="5">
        <v>365</v>
      </c>
      <c r="DM141" s="5">
        <v>1</v>
      </c>
      <c r="DO141" s="5">
        <v>1</v>
      </c>
      <c r="DQ141" s="5">
        <v>1</v>
      </c>
      <c r="DS141" s="5">
        <v>1</v>
      </c>
      <c r="DT141" s="5">
        <v>3</v>
      </c>
      <c r="DU141" s="5">
        <v>3</v>
      </c>
      <c r="DV141" s="7">
        <v>109000</v>
      </c>
      <c r="DX141" s="7">
        <v>650</v>
      </c>
      <c r="DY141" s="7">
        <v>700</v>
      </c>
      <c r="EC141" s="5" t="s">
        <v>111</v>
      </c>
      <c r="ED141" s="5" t="s">
        <v>111</v>
      </c>
      <c r="EE141" s="5">
        <v>0</v>
      </c>
      <c r="EF141" s="5">
        <v>0</v>
      </c>
      <c r="EG141" s="5" t="s">
        <v>111</v>
      </c>
      <c r="EH141" s="5" t="s">
        <v>111</v>
      </c>
      <c r="EI141" s="5" t="s">
        <v>111</v>
      </c>
      <c r="EJ141" s="5" t="s">
        <v>114</v>
      </c>
      <c r="EK141" s="5">
        <v>14</v>
      </c>
      <c r="EL141" s="5">
        <v>26</v>
      </c>
    </row>
    <row r="142" spans="1:142" x14ac:dyDescent="0.25">
      <c r="A142" s="5">
        <v>20</v>
      </c>
      <c r="B142" s="5" t="s">
        <v>387</v>
      </c>
      <c r="C142" s="5" t="s">
        <v>388</v>
      </c>
      <c r="D142" s="6"/>
      <c r="E142" s="6"/>
      <c r="F142" s="47"/>
      <c r="G142" s="5">
        <v>0</v>
      </c>
      <c r="H142" s="5">
        <v>34</v>
      </c>
      <c r="I142" s="5">
        <v>5</v>
      </c>
      <c r="J142" s="5">
        <v>2</v>
      </c>
      <c r="K142" s="1">
        <v>12</v>
      </c>
      <c r="L142" s="1">
        <f t="shared" si="22"/>
        <v>4</v>
      </c>
      <c r="M142" s="7" t="s">
        <v>107</v>
      </c>
      <c r="N142" s="7" t="s">
        <v>389</v>
      </c>
      <c r="O142" s="5" t="s">
        <v>120</v>
      </c>
      <c r="P142" s="7" t="s">
        <v>110</v>
      </c>
      <c r="Q142" s="7" t="s">
        <v>110</v>
      </c>
      <c r="R142" s="7">
        <v>2</v>
      </c>
      <c r="S142" s="7">
        <v>2</v>
      </c>
      <c r="T142" s="7">
        <v>0</v>
      </c>
      <c r="Z142" s="8"/>
      <c r="AA142" s="8">
        <v>1</v>
      </c>
      <c r="AB142" s="8"/>
      <c r="AC142" s="8"/>
      <c r="AD142" s="8">
        <v>1</v>
      </c>
      <c r="AE142" s="8"/>
      <c r="AO142" s="7">
        <v>2</v>
      </c>
      <c r="AP142" s="7">
        <f t="shared" si="32"/>
        <v>0.13</v>
      </c>
      <c r="AQ142" s="7">
        <f t="shared" si="23"/>
        <v>23.076923076923077</v>
      </c>
      <c r="AR142" s="7">
        <f t="shared" si="24"/>
        <v>0</v>
      </c>
      <c r="AS142" s="7">
        <f t="shared" si="25"/>
        <v>0.5</v>
      </c>
      <c r="AT142" s="7">
        <f t="shared" si="26"/>
        <v>0</v>
      </c>
      <c r="AU142" s="7">
        <f t="shared" si="27"/>
        <v>0</v>
      </c>
      <c r="AV142" s="7">
        <f t="shared" si="28"/>
        <v>23.076923076923077</v>
      </c>
      <c r="AW142" s="7">
        <f t="shared" si="29"/>
        <v>0</v>
      </c>
      <c r="AX142" s="7">
        <f t="shared" si="30"/>
        <v>23.076923076923077</v>
      </c>
      <c r="AY142" s="7">
        <v>0</v>
      </c>
      <c r="AZ142" s="7">
        <v>9.5</v>
      </c>
      <c r="BA142" s="5">
        <v>19</v>
      </c>
      <c r="BB142" s="7">
        <v>1</v>
      </c>
      <c r="BC142" s="7">
        <v>23</v>
      </c>
      <c r="BD142" s="7">
        <f t="shared" si="31"/>
        <v>11.5</v>
      </c>
      <c r="BE142" s="5">
        <v>0</v>
      </c>
      <c r="BF142" s="5">
        <v>0</v>
      </c>
      <c r="BG142" s="5">
        <v>1300</v>
      </c>
      <c r="BH142" s="7">
        <v>30000</v>
      </c>
      <c r="BI142" s="7">
        <v>900</v>
      </c>
      <c r="BJ142" s="7">
        <v>18</v>
      </c>
      <c r="BP142" s="5">
        <v>1</v>
      </c>
      <c r="BT142" s="5">
        <v>1</v>
      </c>
      <c r="CU142" s="5">
        <v>2</v>
      </c>
      <c r="CV142" s="5">
        <v>2</v>
      </c>
      <c r="CW142" s="5">
        <v>0</v>
      </c>
      <c r="CX142" s="7">
        <v>8</v>
      </c>
      <c r="CY142" s="5">
        <v>4</v>
      </c>
      <c r="DA142" s="5">
        <v>1</v>
      </c>
      <c r="DD142" s="5">
        <v>365</v>
      </c>
      <c r="DF142" s="5">
        <v>2</v>
      </c>
      <c r="DH142" s="5">
        <v>365</v>
      </c>
      <c r="DJ142" s="5">
        <v>1</v>
      </c>
      <c r="DL142" s="5">
        <v>365</v>
      </c>
      <c r="DM142" s="5">
        <v>1</v>
      </c>
      <c r="DQ142" s="5">
        <v>1</v>
      </c>
      <c r="DT142" s="5">
        <v>3</v>
      </c>
      <c r="DU142" s="5">
        <v>1</v>
      </c>
      <c r="DX142" s="7">
        <v>800</v>
      </c>
      <c r="DY142" s="7">
        <v>900</v>
      </c>
      <c r="EC142" s="5" t="s">
        <v>111</v>
      </c>
      <c r="ED142" s="5" t="s">
        <v>111</v>
      </c>
      <c r="EE142" s="5">
        <v>0</v>
      </c>
      <c r="EF142" s="5">
        <v>0</v>
      </c>
      <c r="EG142" s="5" t="s">
        <v>111</v>
      </c>
      <c r="EH142" s="5" t="s">
        <v>111</v>
      </c>
      <c r="EI142" s="5" t="s">
        <v>111</v>
      </c>
      <c r="EJ142" s="5" t="s">
        <v>114</v>
      </c>
      <c r="EK142" s="5">
        <v>13</v>
      </c>
      <c r="EL142" s="5">
        <v>27</v>
      </c>
    </row>
    <row r="143" spans="1:142" x14ac:dyDescent="0.25">
      <c r="A143" s="5">
        <v>21</v>
      </c>
      <c r="B143" s="5" t="s">
        <v>390</v>
      </c>
      <c r="C143" s="5" t="s">
        <v>391</v>
      </c>
      <c r="D143" s="6"/>
      <c r="E143" s="6"/>
      <c r="F143" s="47"/>
      <c r="G143" s="5">
        <v>0</v>
      </c>
      <c r="H143" s="5">
        <v>35</v>
      </c>
      <c r="I143" s="5">
        <v>7</v>
      </c>
      <c r="J143" s="5">
        <v>4</v>
      </c>
      <c r="K143" s="1">
        <v>7</v>
      </c>
      <c r="L143" s="1">
        <f t="shared" si="22"/>
        <v>2</v>
      </c>
      <c r="M143" s="7" t="s">
        <v>140</v>
      </c>
      <c r="N143" s="7" t="s">
        <v>363</v>
      </c>
      <c r="O143" s="5" t="s">
        <v>120</v>
      </c>
      <c r="P143" s="7" t="s">
        <v>110</v>
      </c>
      <c r="Q143" s="7" t="s">
        <v>110</v>
      </c>
      <c r="R143" s="7">
        <v>2</v>
      </c>
      <c r="S143" s="7">
        <v>6</v>
      </c>
      <c r="T143" s="7">
        <v>0</v>
      </c>
      <c r="Z143" s="8"/>
      <c r="AA143" s="8"/>
      <c r="AB143" s="8">
        <v>1</v>
      </c>
      <c r="AC143" s="8"/>
      <c r="AD143" s="8"/>
      <c r="AE143" s="8"/>
      <c r="AO143" s="7">
        <v>1</v>
      </c>
      <c r="AP143" s="7">
        <f t="shared" si="32"/>
        <v>0.03</v>
      </c>
      <c r="AQ143" s="7">
        <f t="shared" si="23"/>
        <v>0</v>
      </c>
      <c r="AR143" s="7">
        <f t="shared" si="24"/>
        <v>0</v>
      </c>
      <c r="AS143" s="7">
        <f t="shared" si="25"/>
        <v>0</v>
      </c>
      <c r="AT143" s="7">
        <f t="shared" si="26"/>
        <v>100</v>
      </c>
      <c r="AU143" s="7">
        <f t="shared" si="27"/>
        <v>0</v>
      </c>
      <c r="AV143" s="7">
        <f t="shared" si="28"/>
        <v>0</v>
      </c>
      <c r="AW143" s="7">
        <f t="shared" si="29"/>
        <v>0</v>
      </c>
      <c r="AX143" s="7">
        <f t="shared" si="30"/>
        <v>0</v>
      </c>
      <c r="AY143" s="7">
        <v>0</v>
      </c>
      <c r="AZ143" s="7">
        <v>7</v>
      </c>
      <c r="BA143" s="5">
        <v>7</v>
      </c>
      <c r="BB143" s="7">
        <v>0</v>
      </c>
      <c r="BC143" s="7">
        <v>8</v>
      </c>
      <c r="BD143" s="7">
        <f t="shared" si="31"/>
        <v>8</v>
      </c>
      <c r="BE143" s="5">
        <v>0</v>
      </c>
      <c r="BF143" s="5">
        <v>0</v>
      </c>
      <c r="BG143" s="5">
        <v>500</v>
      </c>
      <c r="BH143" s="7">
        <v>30000</v>
      </c>
      <c r="BI143" s="7">
        <v>300</v>
      </c>
      <c r="BJ143" s="7">
        <v>6</v>
      </c>
      <c r="BP143" s="5">
        <v>1</v>
      </c>
      <c r="BR143" s="5">
        <v>1</v>
      </c>
      <c r="CH143" s="5">
        <v>1</v>
      </c>
      <c r="CU143" s="5">
        <v>6</v>
      </c>
      <c r="CV143" s="5">
        <v>2</v>
      </c>
      <c r="CW143" s="5">
        <v>0</v>
      </c>
      <c r="CX143" s="7">
        <v>8</v>
      </c>
      <c r="CY143" s="5">
        <v>4</v>
      </c>
      <c r="DA143" s="5">
        <v>1</v>
      </c>
      <c r="DC143" s="5">
        <v>1</v>
      </c>
      <c r="DD143" s="5">
        <v>365</v>
      </c>
      <c r="DF143" s="5">
        <v>1</v>
      </c>
      <c r="DG143" s="5">
        <v>1</v>
      </c>
      <c r="DH143" s="5">
        <v>365</v>
      </c>
      <c r="DJ143" s="5">
        <v>1</v>
      </c>
      <c r="DK143" s="5">
        <v>1</v>
      </c>
      <c r="DL143" s="5">
        <v>365</v>
      </c>
      <c r="DM143" s="5">
        <v>1</v>
      </c>
      <c r="DO143" s="5">
        <v>1</v>
      </c>
      <c r="DQ143" s="5">
        <v>1</v>
      </c>
      <c r="DS143" s="5">
        <v>1</v>
      </c>
      <c r="DT143" s="5">
        <v>3</v>
      </c>
      <c r="DU143" s="5">
        <v>1</v>
      </c>
      <c r="DX143" s="7">
        <v>650</v>
      </c>
      <c r="DY143" s="7">
        <v>700</v>
      </c>
      <c r="EC143" s="5" t="s">
        <v>111</v>
      </c>
      <c r="ED143" s="5" t="s">
        <v>111</v>
      </c>
      <c r="EE143" s="5">
        <v>0</v>
      </c>
      <c r="EF143" s="5">
        <v>0</v>
      </c>
      <c r="EG143" s="5" t="s">
        <v>111</v>
      </c>
      <c r="EH143" s="5" t="s">
        <v>111</v>
      </c>
      <c r="EI143" s="5" t="s">
        <v>111</v>
      </c>
      <c r="EJ143" s="5" t="s">
        <v>114</v>
      </c>
      <c r="EK143" s="5">
        <v>14</v>
      </c>
      <c r="EL143" s="5">
        <v>27</v>
      </c>
    </row>
    <row r="144" spans="1:142" x14ac:dyDescent="0.25">
      <c r="A144" s="5">
        <v>22</v>
      </c>
      <c r="B144" s="5" t="s">
        <v>392</v>
      </c>
      <c r="C144" s="5" t="s">
        <v>393</v>
      </c>
      <c r="D144" s="6"/>
      <c r="E144" s="6"/>
      <c r="F144" s="47"/>
      <c r="G144" s="5">
        <v>0</v>
      </c>
      <c r="H144" s="5">
        <v>33</v>
      </c>
      <c r="I144" s="5">
        <v>4</v>
      </c>
      <c r="J144" s="5">
        <v>1</v>
      </c>
      <c r="K144" s="1">
        <v>10</v>
      </c>
      <c r="L144" s="1">
        <f t="shared" si="22"/>
        <v>3</v>
      </c>
      <c r="M144" s="7" t="s">
        <v>107</v>
      </c>
      <c r="N144" s="7" t="s">
        <v>389</v>
      </c>
      <c r="O144" s="5" t="s">
        <v>120</v>
      </c>
      <c r="P144" s="7" t="s">
        <v>110</v>
      </c>
      <c r="Q144" s="7" t="s">
        <v>110</v>
      </c>
      <c r="R144" s="7">
        <v>1</v>
      </c>
      <c r="S144" s="7">
        <v>2</v>
      </c>
      <c r="T144" s="7">
        <v>0</v>
      </c>
      <c r="W144" s="5">
        <v>1</v>
      </c>
      <c r="Z144" s="8"/>
      <c r="AA144" s="8">
        <v>1</v>
      </c>
      <c r="AB144" s="8"/>
      <c r="AC144" s="8"/>
      <c r="AD144" s="8"/>
      <c r="AE144" s="8"/>
      <c r="AO144" s="7">
        <v>1</v>
      </c>
      <c r="AP144" s="7">
        <f t="shared" si="32"/>
        <v>0.03</v>
      </c>
      <c r="AQ144" s="7">
        <f t="shared" si="23"/>
        <v>100</v>
      </c>
      <c r="AR144" s="7">
        <f t="shared" si="24"/>
        <v>0</v>
      </c>
      <c r="AS144" s="7">
        <f t="shared" si="25"/>
        <v>1</v>
      </c>
      <c r="AT144" s="7">
        <f t="shared" si="26"/>
        <v>0</v>
      </c>
      <c r="AU144" s="7">
        <f t="shared" si="27"/>
        <v>0</v>
      </c>
      <c r="AV144" s="7">
        <f t="shared" si="28"/>
        <v>0</v>
      </c>
      <c r="AW144" s="7">
        <f t="shared" si="29"/>
        <v>0</v>
      </c>
      <c r="AX144" s="7">
        <f t="shared" si="30"/>
        <v>100</v>
      </c>
      <c r="AY144" s="7">
        <v>0</v>
      </c>
      <c r="AZ144" s="7">
        <v>3</v>
      </c>
      <c r="BA144" s="5">
        <v>3</v>
      </c>
      <c r="BB144" s="7">
        <v>0</v>
      </c>
      <c r="BC144" s="7">
        <v>6</v>
      </c>
      <c r="BD144" s="7">
        <f t="shared" si="31"/>
        <v>6</v>
      </c>
      <c r="BE144" s="5">
        <v>0</v>
      </c>
      <c r="BF144" s="5">
        <v>0</v>
      </c>
      <c r="BG144" s="5">
        <v>400</v>
      </c>
      <c r="BH144" s="7">
        <v>30000</v>
      </c>
      <c r="BI144" s="7">
        <v>200</v>
      </c>
      <c r="BJ144" s="7">
        <v>4</v>
      </c>
      <c r="BZ144" s="5">
        <v>1</v>
      </c>
      <c r="CU144" s="5">
        <v>6</v>
      </c>
      <c r="CV144" s="5">
        <v>2</v>
      </c>
      <c r="CW144" s="5">
        <v>0</v>
      </c>
      <c r="CX144" s="7">
        <v>8</v>
      </c>
      <c r="CY144" s="5">
        <v>4</v>
      </c>
      <c r="DA144" s="5">
        <v>1</v>
      </c>
      <c r="DD144" s="5">
        <v>365</v>
      </c>
      <c r="DF144" s="5">
        <v>1</v>
      </c>
      <c r="DH144" s="5">
        <v>365</v>
      </c>
      <c r="DJ144" s="5">
        <v>1</v>
      </c>
      <c r="DL144" s="5">
        <v>365</v>
      </c>
      <c r="DM144" s="5">
        <v>1</v>
      </c>
      <c r="DQ144" s="5">
        <v>1</v>
      </c>
      <c r="DT144" s="5">
        <v>3</v>
      </c>
      <c r="DU144" s="5">
        <v>2</v>
      </c>
      <c r="DX144" s="7">
        <v>650</v>
      </c>
      <c r="DY144" s="7">
        <v>700</v>
      </c>
      <c r="EC144" s="5" t="s">
        <v>111</v>
      </c>
      <c r="ED144" s="5" t="s">
        <v>111</v>
      </c>
      <c r="EE144" s="5">
        <v>0</v>
      </c>
      <c r="EF144" s="5">
        <v>0</v>
      </c>
      <c r="EG144" s="5" t="s">
        <v>111</v>
      </c>
      <c r="EH144" s="5" t="s">
        <v>111</v>
      </c>
      <c r="EI144" s="5" t="s">
        <v>111</v>
      </c>
      <c r="EJ144" s="5" t="s">
        <v>114</v>
      </c>
      <c r="EK144" s="5">
        <v>13</v>
      </c>
      <c r="EL144" s="5">
        <v>27</v>
      </c>
    </row>
    <row r="145" spans="1:142" x14ac:dyDescent="0.25">
      <c r="A145" s="5">
        <v>23</v>
      </c>
      <c r="B145" s="5" t="s">
        <v>394</v>
      </c>
      <c r="C145" s="5" t="s">
        <v>395</v>
      </c>
      <c r="D145" s="6"/>
      <c r="E145" s="6"/>
      <c r="F145" s="47"/>
      <c r="G145" s="5">
        <v>0</v>
      </c>
      <c r="H145" s="5">
        <v>30</v>
      </c>
      <c r="I145" s="5">
        <v>4</v>
      </c>
      <c r="J145" s="5">
        <v>2</v>
      </c>
      <c r="K145" s="1">
        <v>0</v>
      </c>
      <c r="L145" s="1">
        <f t="shared" si="22"/>
        <v>0</v>
      </c>
      <c r="M145" s="7" t="s">
        <v>140</v>
      </c>
      <c r="N145" s="7" t="s">
        <v>363</v>
      </c>
      <c r="O145" s="5" t="s">
        <v>120</v>
      </c>
      <c r="P145" s="7" t="s">
        <v>110</v>
      </c>
      <c r="Q145" s="7" t="s">
        <v>110</v>
      </c>
      <c r="R145" s="7">
        <v>2</v>
      </c>
      <c r="S145" s="7">
        <v>6</v>
      </c>
      <c r="T145" s="7">
        <v>0.25287999999999999</v>
      </c>
      <c r="Z145" s="8"/>
      <c r="AA145" s="8"/>
      <c r="AB145" s="8"/>
      <c r="AC145" s="8"/>
      <c r="AD145" s="8">
        <v>2</v>
      </c>
      <c r="AE145" s="8"/>
      <c r="AO145" s="7">
        <v>2</v>
      </c>
      <c r="AP145" s="7">
        <f t="shared" si="32"/>
        <v>0.2</v>
      </c>
      <c r="AQ145" s="7">
        <f t="shared" si="23"/>
        <v>0</v>
      </c>
      <c r="AR145" s="7">
        <f t="shared" si="24"/>
        <v>0</v>
      </c>
      <c r="AS145" s="7">
        <f t="shared" si="25"/>
        <v>0</v>
      </c>
      <c r="AT145" s="7">
        <f t="shared" si="26"/>
        <v>0</v>
      </c>
      <c r="AU145" s="7">
        <f t="shared" si="27"/>
        <v>0</v>
      </c>
      <c r="AV145" s="7">
        <f t="shared" si="28"/>
        <v>30</v>
      </c>
      <c r="AW145" s="7">
        <f t="shared" si="29"/>
        <v>0</v>
      </c>
      <c r="AX145" s="7">
        <f t="shared" si="30"/>
        <v>0</v>
      </c>
      <c r="AY145" s="7">
        <v>0</v>
      </c>
      <c r="AZ145" s="7">
        <v>31.5</v>
      </c>
      <c r="BA145" s="5">
        <v>63</v>
      </c>
      <c r="BB145" s="7">
        <v>0</v>
      </c>
      <c r="BC145" s="7">
        <v>74</v>
      </c>
      <c r="BD145" s="7">
        <f t="shared" si="31"/>
        <v>37</v>
      </c>
      <c r="BE145" s="5">
        <v>0</v>
      </c>
      <c r="BF145" s="5">
        <v>0</v>
      </c>
      <c r="BG145" s="5">
        <v>4000</v>
      </c>
      <c r="BH145" s="7">
        <v>15000</v>
      </c>
      <c r="BI145" s="7">
        <v>2500</v>
      </c>
      <c r="BJ145" s="7">
        <v>50</v>
      </c>
      <c r="BM145" s="5">
        <v>2</v>
      </c>
      <c r="BP145" s="5">
        <v>1</v>
      </c>
      <c r="BR145" s="5">
        <v>2</v>
      </c>
      <c r="CE145" s="5">
        <v>2</v>
      </c>
      <c r="CN145" s="5">
        <v>1</v>
      </c>
      <c r="CU145" s="5">
        <v>6</v>
      </c>
      <c r="CV145" s="5">
        <v>2</v>
      </c>
      <c r="CW145" s="5">
        <v>0</v>
      </c>
      <c r="CX145" s="7">
        <v>8</v>
      </c>
      <c r="CY145" s="5">
        <v>2</v>
      </c>
      <c r="DA145" s="5">
        <v>1</v>
      </c>
      <c r="DD145" s="5">
        <v>365</v>
      </c>
      <c r="DF145" s="5">
        <v>1</v>
      </c>
      <c r="DH145" s="5">
        <v>365</v>
      </c>
      <c r="DJ145" s="5">
        <v>1</v>
      </c>
      <c r="DL145" s="5">
        <v>365</v>
      </c>
      <c r="DM145" s="5">
        <v>1</v>
      </c>
      <c r="DQ145" s="5">
        <v>1</v>
      </c>
      <c r="DT145" s="5">
        <v>3</v>
      </c>
      <c r="DU145" s="5">
        <v>2</v>
      </c>
      <c r="DX145" s="7">
        <v>800</v>
      </c>
      <c r="DY145" s="7">
        <v>700</v>
      </c>
      <c r="EC145" s="5" t="s">
        <v>111</v>
      </c>
      <c r="ED145" s="5" t="s">
        <v>111</v>
      </c>
      <c r="EE145" s="5">
        <v>0</v>
      </c>
      <c r="EF145" s="5">
        <v>0</v>
      </c>
      <c r="EG145" s="5" t="s">
        <v>111</v>
      </c>
      <c r="EH145" s="5" t="s">
        <v>111</v>
      </c>
      <c r="EI145" s="5" t="s">
        <v>111</v>
      </c>
      <c r="EJ145" s="5" t="s">
        <v>114</v>
      </c>
      <c r="EK145" s="5">
        <v>14</v>
      </c>
      <c r="EL145" s="5">
        <v>26</v>
      </c>
    </row>
    <row r="146" spans="1:142" x14ac:dyDescent="0.25">
      <c r="A146" s="5">
        <v>24</v>
      </c>
      <c r="B146" s="5" t="s">
        <v>396</v>
      </c>
      <c r="C146" s="5" t="s">
        <v>397</v>
      </c>
      <c r="D146" s="6"/>
      <c r="E146" s="6"/>
      <c r="F146" s="47"/>
      <c r="G146" s="5">
        <v>0</v>
      </c>
      <c r="H146" s="5">
        <v>26</v>
      </c>
      <c r="I146" s="5">
        <v>2</v>
      </c>
      <c r="J146" s="5">
        <v>0</v>
      </c>
      <c r="K146" s="1">
        <v>0</v>
      </c>
      <c r="L146" s="1">
        <f t="shared" si="22"/>
        <v>0</v>
      </c>
      <c r="M146" s="7" t="s">
        <v>107</v>
      </c>
      <c r="N146" s="7" t="s">
        <v>398</v>
      </c>
      <c r="O146" s="5" t="s">
        <v>120</v>
      </c>
      <c r="P146" s="7" t="s">
        <v>110</v>
      </c>
      <c r="Q146" s="7" t="s">
        <v>110</v>
      </c>
      <c r="R146" s="7">
        <v>1</v>
      </c>
      <c r="S146" s="7">
        <v>3</v>
      </c>
      <c r="T146" s="7">
        <v>0</v>
      </c>
      <c r="Z146" s="8"/>
      <c r="AA146" s="8">
        <v>1</v>
      </c>
      <c r="AB146" s="8"/>
      <c r="AC146" s="8">
        <v>1</v>
      </c>
      <c r="AD146" s="8"/>
      <c r="AE146" s="8"/>
      <c r="AO146" s="7">
        <v>2</v>
      </c>
      <c r="AP146" s="7">
        <f t="shared" si="32"/>
        <v>0.06</v>
      </c>
      <c r="AQ146" s="7">
        <f t="shared" si="23"/>
        <v>50</v>
      </c>
      <c r="AR146" s="7">
        <f t="shared" si="24"/>
        <v>0</v>
      </c>
      <c r="AS146" s="7">
        <f t="shared" si="25"/>
        <v>0.5</v>
      </c>
      <c r="AT146" s="7">
        <f t="shared" si="26"/>
        <v>0</v>
      </c>
      <c r="AU146" s="7">
        <f t="shared" si="27"/>
        <v>50</v>
      </c>
      <c r="AV146" s="7">
        <f t="shared" si="28"/>
        <v>0</v>
      </c>
      <c r="AW146" s="7">
        <f t="shared" si="29"/>
        <v>0</v>
      </c>
      <c r="AX146" s="7">
        <f t="shared" si="30"/>
        <v>100</v>
      </c>
      <c r="AY146" s="7">
        <v>0</v>
      </c>
      <c r="AZ146" s="7">
        <v>7.5</v>
      </c>
      <c r="BA146" s="5">
        <v>15</v>
      </c>
      <c r="BB146" s="7">
        <v>0.5</v>
      </c>
      <c r="BC146" s="7">
        <v>17</v>
      </c>
      <c r="BD146" s="7">
        <f t="shared" si="31"/>
        <v>8.5</v>
      </c>
      <c r="BE146" s="5">
        <v>0</v>
      </c>
      <c r="BF146" s="5">
        <v>0</v>
      </c>
      <c r="BG146" s="5">
        <v>1000</v>
      </c>
      <c r="BH146" s="7">
        <v>30000</v>
      </c>
      <c r="BI146" s="7">
        <v>600</v>
      </c>
      <c r="BJ146" s="7">
        <v>12</v>
      </c>
      <c r="BM146" s="5">
        <v>1</v>
      </c>
      <c r="BP146" s="5">
        <v>1</v>
      </c>
      <c r="BT146" s="5">
        <v>1</v>
      </c>
      <c r="BU146" s="5">
        <v>1</v>
      </c>
      <c r="CE146" s="5">
        <v>1</v>
      </c>
      <c r="CN146" s="5">
        <v>1</v>
      </c>
      <c r="CU146" s="5">
        <v>2</v>
      </c>
      <c r="CV146" s="5">
        <v>2</v>
      </c>
      <c r="CW146" s="5">
        <v>0</v>
      </c>
      <c r="CX146" s="7">
        <v>8</v>
      </c>
      <c r="CY146" s="5">
        <v>4</v>
      </c>
      <c r="DA146" s="5">
        <v>1</v>
      </c>
      <c r="DD146" s="5">
        <v>365</v>
      </c>
      <c r="DF146" s="5">
        <v>1</v>
      </c>
      <c r="DH146" s="5">
        <v>365</v>
      </c>
      <c r="DJ146" s="5">
        <v>1</v>
      </c>
      <c r="DL146" s="5">
        <v>365</v>
      </c>
      <c r="DM146" s="5">
        <v>1</v>
      </c>
      <c r="DQ146" s="5">
        <v>1</v>
      </c>
      <c r="DT146" s="5">
        <v>3</v>
      </c>
      <c r="DU146" s="5">
        <v>1</v>
      </c>
      <c r="DX146" s="7">
        <v>800</v>
      </c>
      <c r="DY146" s="7">
        <v>700</v>
      </c>
      <c r="EC146" s="5" t="s">
        <v>111</v>
      </c>
      <c r="ED146" s="5" t="s">
        <v>111</v>
      </c>
      <c r="EE146" s="5">
        <v>0</v>
      </c>
      <c r="EF146" s="5">
        <v>0</v>
      </c>
      <c r="EG146" s="5" t="s">
        <v>111</v>
      </c>
      <c r="EH146" s="5" t="s">
        <v>111</v>
      </c>
      <c r="EI146" s="5" t="s">
        <v>111</v>
      </c>
      <c r="EJ146" s="5" t="s">
        <v>114</v>
      </c>
      <c r="EK146" s="5">
        <v>13</v>
      </c>
      <c r="EL146" s="5">
        <v>26</v>
      </c>
    </row>
    <row r="147" spans="1:142" x14ac:dyDescent="0.25">
      <c r="A147" s="5">
        <v>25</v>
      </c>
      <c r="B147" s="5" t="s">
        <v>399</v>
      </c>
      <c r="C147" s="5" t="s">
        <v>400</v>
      </c>
      <c r="D147" s="6"/>
      <c r="E147" s="6"/>
      <c r="F147" s="47"/>
      <c r="G147" s="5">
        <v>0</v>
      </c>
      <c r="H147" s="5">
        <v>27</v>
      </c>
      <c r="I147" s="5">
        <v>3</v>
      </c>
      <c r="J147" s="5">
        <v>0</v>
      </c>
      <c r="K147" s="1">
        <v>10</v>
      </c>
      <c r="L147" s="1">
        <f t="shared" si="22"/>
        <v>3</v>
      </c>
      <c r="M147" s="7" t="s">
        <v>140</v>
      </c>
      <c r="N147" s="7" t="s">
        <v>379</v>
      </c>
      <c r="O147" s="5" t="s">
        <v>340</v>
      </c>
      <c r="P147" s="7" t="s">
        <v>110</v>
      </c>
      <c r="Q147" s="7" t="s">
        <v>110</v>
      </c>
      <c r="R147" s="7">
        <v>3</v>
      </c>
      <c r="S147" s="7">
        <v>3</v>
      </c>
      <c r="T147" s="7">
        <v>0</v>
      </c>
      <c r="W147" s="5">
        <v>1</v>
      </c>
      <c r="Z147" s="8"/>
      <c r="AA147" s="8">
        <v>1</v>
      </c>
      <c r="AB147" s="8"/>
      <c r="AC147" s="8"/>
      <c r="AD147" s="8"/>
      <c r="AE147" s="8">
        <v>1</v>
      </c>
      <c r="AO147" s="7">
        <v>2</v>
      </c>
      <c r="AP147" s="7">
        <f t="shared" si="32"/>
        <v>0.13</v>
      </c>
      <c r="AQ147" s="7">
        <f t="shared" si="23"/>
        <v>23.076923076923077</v>
      </c>
      <c r="AR147" s="7">
        <f t="shared" si="24"/>
        <v>0</v>
      </c>
      <c r="AS147" s="7">
        <f t="shared" si="25"/>
        <v>0.5</v>
      </c>
      <c r="AT147" s="7">
        <f t="shared" si="26"/>
        <v>0</v>
      </c>
      <c r="AU147" s="7">
        <f t="shared" si="27"/>
        <v>0</v>
      </c>
      <c r="AV147" s="7">
        <f t="shared" si="28"/>
        <v>0</v>
      </c>
      <c r="AW147" s="7">
        <f t="shared" si="29"/>
        <v>23.076923076923077</v>
      </c>
      <c r="AX147" s="7">
        <f t="shared" si="30"/>
        <v>46.153846153846153</v>
      </c>
      <c r="AY147" s="7">
        <v>0</v>
      </c>
      <c r="AZ147" s="7">
        <v>11.5</v>
      </c>
      <c r="BA147" s="5">
        <v>23</v>
      </c>
      <c r="BB147" s="7">
        <v>0.5</v>
      </c>
      <c r="BC147" s="7">
        <v>29</v>
      </c>
      <c r="BD147" s="7">
        <f t="shared" si="31"/>
        <v>14.5</v>
      </c>
      <c r="BE147" s="5">
        <v>1</v>
      </c>
      <c r="BF147" s="5">
        <v>300</v>
      </c>
      <c r="BG147" s="5">
        <v>1600</v>
      </c>
      <c r="BH147" s="7">
        <v>15000</v>
      </c>
      <c r="BI147" s="7">
        <v>1000</v>
      </c>
      <c r="BJ147" s="7">
        <v>20</v>
      </c>
      <c r="BP147" s="5">
        <v>1</v>
      </c>
      <c r="BT147" s="5">
        <v>1</v>
      </c>
      <c r="CU147" s="5">
        <v>2</v>
      </c>
      <c r="CV147" s="5">
        <v>2</v>
      </c>
      <c r="CW147" s="5">
        <v>0</v>
      </c>
      <c r="CX147" s="7">
        <v>8</v>
      </c>
      <c r="CY147" s="5">
        <v>2</v>
      </c>
      <c r="DA147" s="5">
        <v>1</v>
      </c>
      <c r="DD147" s="5">
        <v>365</v>
      </c>
      <c r="DF147" s="5">
        <v>2</v>
      </c>
      <c r="DH147" s="5">
        <v>365</v>
      </c>
      <c r="DJ147" s="5">
        <v>1</v>
      </c>
      <c r="DL147" s="5">
        <v>365</v>
      </c>
      <c r="DM147" s="5">
        <v>1</v>
      </c>
      <c r="DQ147" s="5">
        <v>1</v>
      </c>
      <c r="DT147" s="5">
        <v>3</v>
      </c>
      <c r="DU147" s="5">
        <v>3</v>
      </c>
      <c r="DV147" s="7">
        <v>144000</v>
      </c>
      <c r="DX147" s="7">
        <v>800</v>
      </c>
      <c r="DY147" s="7">
        <v>800</v>
      </c>
      <c r="EC147" s="5" t="s">
        <v>111</v>
      </c>
      <c r="ED147" s="5" t="s">
        <v>111</v>
      </c>
      <c r="EE147" s="5">
        <v>0</v>
      </c>
      <c r="EF147" s="5">
        <v>0</v>
      </c>
      <c r="EG147" s="5" t="s">
        <v>111</v>
      </c>
      <c r="EH147" s="5" t="s">
        <v>111</v>
      </c>
      <c r="EI147" s="5" t="s">
        <v>111</v>
      </c>
      <c r="EJ147" s="5" t="s">
        <v>114</v>
      </c>
      <c r="EK147" s="5">
        <v>13</v>
      </c>
      <c r="EL147" s="5">
        <v>27</v>
      </c>
    </row>
    <row r="148" spans="1:142" x14ac:dyDescent="0.25">
      <c r="A148" s="5">
        <v>26</v>
      </c>
      <c r="B148" s="5" t="s">
        <v>401</v>
      </c>
      <c r="C148" s="5" t="s">
        <v>402</v>
      </c>
      <c r="D148" s="6"/>
      <c r="E148" s="6"/>
      <c r="F148" s="47"/>
      <c r="G148" s="5">
        <v>0</v>
      </c>
      <c r="H148" s="5">
        <v>50</v>
      </c>
      <c r="I148" s="5">
        <v>13</v>
      </c>
      <c r="J148" s="5">
        <v>9</v>
      </c>
      <c r="K148" s="1">
        <v>12</v>
      </c>
      <c r="L148" s="1">
        <f t="shared" si="22"/>
        <v>4</v>
      </c>
      <c r="M148" s="7" t="s">
        <v>107</v>
      </c>
      <c r="N148" s="7" t="s">
        <v>340</v>
      </c>
      <c r="O148" s="5" t="s">
        <v>120</v>
      </c>
      <c r="P148" s="7" t="s">
        <v>110</v>
      </c>
      <c r="Q148" s="7" t="s">
        <v>110</v>
      </c>
      <c r="R148" s="7">
        <v>2</v>
      </c>
      <c r="S148" s="7">
        <v>5</v>
      </c>
      <c r="T148" s="7">
        <v>0</v>
      </c>
      <c r="Z148" s="8"/>
      <c r="AA148" s="8"/>
      <c r="AB148" s="8">
        <v>1</v>
      </c>
      <c r="AC148" s="8"/>
      <c r="AD148" s="8">
        <v>1</v>
      </c>
      <c r="AE148" s="8"/>
      <c r="AO148" s="7">
        <v>2</v>
      </c>
      <c r="AP148" s="7">
        <f t="shared" si="32"/>
        <v>0.13</v>
      </c>
      <c r="AQ148" s="7">
        <f t="shared" si="23"/>
        <v>0</v>
      </c>
      <c r="AR148" s="7">
        <f t="shared" si="24"/>
        <v>0</v>
      </c>
      <c r="AS148" s="7">
        <f t="shared" si="25"/>
        <v>0</v>
      </c>
      <c r="AT148" s="7">
        <f t="shared" si="26"/>
        <v>23.076923076923077</v>
      </c>
      <c r="AU148" s="7">
        <f t="shared" si="27"/>
        <v>0</v>
      </c>
      <c r="AV148" s="7">
        <f t="shared" si="28"/>
        <v>23.076923076923077</v>
      </c>
      <c r="AW148" s="7">
        <f t="shared" si="29"/>
        <v>0</v>
      </c>
      <c r="AX148" s="7">
        <f t="shared" si="30"/>
        <v>0</v>
      </c>
      <c r="AY148" s="7">
        <v>0</v>
      </c>
      <c r="AZ148" s="7">
        <v>17.5</v>
      </c>
      <c r="BA148" s="5">
        <v>35</v>
      </c>
      <c r="BB148" s="7">
        <v>0</v>
      </c>
      <c r="BC148" s="7">
        <v>42</v>
      </c>
      <c r="BD148" s="7">
        <f t="shared" si="31"/>
        <v>21</v>
      </c>
      <c r="BE148" s="5">
        <v>0</v>
      </c>
      <c r="BF148" s="5">
        <v>0</v>
      </c>
      <c r="BG148" s="5">
        <v>2300</v>
      </c>
      <c r="BH148" s="7">
        <v>30000</v>
      </c>
      <c r="BI148" s="7">
        <v>1400</v>
      </c>
      <c r="BJ148" s="7">
        <v>28</v>
      </c>
      <c r="BW148" s="5">
        <v>1</v>
      </c>
      <c r="BX148" s="5">
        <v>1</v>
      </c>
      <c r="CU148" s="5">
        <v>2</v>
      </c>
      <c r="CV148" s="5">
        <v>2</v>
      </c>
      <c r="CW148" s="5">
        <v>0</v>
      </c>
      <c r="CX148" s="7">
        <v>8</v>
      </c>
      <c r="CY148" s="5">
        <v>4</v>
      </c>
      <c r="DA148" s="5">
        <v>1</v>
      </c>
      <c r="DB148" s="5">
        <v>1</v>
      </c>
      <c r="DD148" s="5">
        <v>365</v>
      </c>
      <c r="DF148" s="5">
        <v>2</v>
      </c>
      <c r="DH148" s="5">
        <v>365</v>
      </c>
      <c r="DJ148" s="5">
        <v>1</v>
      </c>
      <c r="DL148" s="5">
        <v>365</v>
      </c>
      <c r="DM148" s="5">
        <v>1</v>
      </c>
      <c r="DQ148" s="5">
        <v>1</v>
      </c>
      <c r="DT148" s="5">
        <v>3</v>
      </c>
      <c r="DU148" s="5">
        <v>1</v>
      </c>
      <c r="DX148" s="7">
        <v>800</v>
      </c>
      <c r="DY148" s="7">
        <v>900</v>
      </c>
      <c r="EC148" s="5" t="s">
        <v>111</v>
      </c>
      <c r="ED148" s="5" t="s">
        <v>111</v>
      </c>
      <c r="EE148" s="5">
        <v>0</v>
      </c>
      <c r="EF148" s="5">
        <v>0</v>
      </c>
      <c r="EG148" s="5" t="s">
        <v>111</v>
      </c>
      <c r="EH148" s="5" t="s">
        <v>111</v>
      </c>
      <c r="EI148" s="5" t="s">
        <v>111</v>
      </c>
      <c r="EJ148" s="5" t="s">
        <v>114</v>
      </c>
      <c r="EK148" s="5">
        <v>13</v>
      </c>
      <c r="EL148" s="5">
        <v>27</v>
      </c>
    </row>
    <row r="149" spans="1:142" x14ac:dyDescent="0.25">
      <c r="A149" s="5">
        <v>27</v>
      </c>
      <c r="B149" s="5" t="s">
        <v>403</v>
      </c>
      <c r="C149" s="5" t="s">
        <v>404</v>
      </c>
      <c r="D149" s="6"/>
      <c r="E149" s="6"/>
      <c r="F149" s="47"/>
      <c r="G149" s="5">
        <v>0</v>
      </c>
      <c r="H149" s="5">
        <v>32</v>
      </c>
      <c r="I149" s="5">
        <v>5</v>
      </c>
      <c r="J149" s="5">
        <v>2</v>
      </c>
      <c r="K149" s="1">
        <v>8</v>
      </c>
      <c r="L149" s="1">
        <f t="shared" si="22"/>
        <v>2</v>
      </c>
      <c r="M149" s="7" t="s">
        <v>140</v>
      </c>
      <c r="N149" s="7" t="s">
        <v>379</v>
      </c>
      <c r="O149" s="5" t="s">
        <v>120</v>
      </c>
      <c r="P149" s="7" t="s">
        <v>110</v>
      </c>
      <c r="Q149" s="7" t="s">
        <v>110</v>
      </c>
      <c r="R149" s="7">
        <v>3</v>
      </c>
      <c r="S149" s="7">
        <v>2</v>
      </c>
      <c r="T149" s="7">
        <v>0</v>
      </c>
      <c r="Z149" s="8">
        <v>1</v>
      </c>
      <c r="AA149" s="8"/>
      <c r="AB149" s="8"/>
      <c r="AC149" s="8">
        <v>1</v>
      </c>
      <c r="AD149" s="8"/>
      <c r="AE149" s="8"/>
      <c r="AO149" s="7">
        <v>2</v>
      </c>
      <c r="AP149" s="7">
        <f t="shared" si="32"/>
        <v>0.06</v>
      </c>
      <c r="AQ149" s="7">
        <f t="shared" si="23"/>
        <v>50</v>
      </c>
      <c r="AR149" s="7">
        <f t="shared" si="24"/>
        <v>0.5</v>
      </c>
      <c r="AS149" s="7">
        <f t="shared" si="25"/>
        <v>0</v>
      </c>
      <c r="AT149" s="7">
        <f t="shared" si="26"/>
        <v>0</v>
      </c>
      <c r="AU149" s="7">
        <f t="shared" si="27"/>
        <v>50</v>
      </c>
      <c r="AV149" s="7">
        <f t="shared" si="28"/>
        <v>0</v>
      </c>
      <c r="AW149" s="7">
        <f t="shared" si="29"/>
        <v>0</v>
      </c>
      <c r="AX149" s="7">
        <f t="shared" si="30"/>
        <v>50</v>
      </c>
      <c r="AY149" s="7">
        <v>0</v>
      </c>
      <c r="AZ149" s="7">
        <v>8</v>
      </c>
      <c r="BA149" s="5">
        <v>16</v>
      </c>
      <c r="BB149" s="7">
        <v>0</v>
      </c>
      <c r="BC149" s="7">
        <v>23</v>
      </c>
      <c r="BD149" s="7">
        <f t="shared" si="31"/>
        <v>11.5</v>
      </c>
      <c r="BE149" s="5">
        <v>0</v>
      </c>
      <c r="BF149" s="5">
        <v>0</v>
      </c>
      <c r="BG149" s="5">
        <v>1300</v>
      </c>
      <c r="BH149" s="7">
        <v>30000</v>
      </c>
      <c r="BI149" s="7">
        <v>800</v>
      </c>
      <c r="BJ149" s="7">
        <v>16</v>
      </c>
      <c r="BW149" s="5">
        <v>1</v>
      </c>
      <c r="CA149" s="5">
        <v>1</v>
      </c>
      <c r="CU149" s="5">
        <v>2</v>
      </c>
      <c r="CV149" s="5">
        <v>2</v>
      </c>
      <c r="CW149" s="5">
        <v>0</v>
      </c>
      <c r="CX149" s="7">
        <v>8</v>
      </c>
      <c r="CY149" s="5">
        <v>4</v>
      </c>
      <c r="DA149" s="5">
        <v>1</v>
      </c>
      <c r="DD149" s="5">
        <v>365</v>
      </c>
      <c r="DF149" s="5">
        <v>1</v>
      </c>
      <c r="DH149" s="5">
        <v>365</v>
      </c>
      <c r="DJ149" s="5">
        <v>1</v>
      </c>
      <c r="DL149" s="5">
        <v>365</v>
      </c>
      <c r="DM149" s="5">
        <v>1</v>
      </c>
      <c r="DQ149" s="5">
        <v>1</v>
      </c>
      <c r="DT149" s="5">
        <v>3</v>
      </c>
      <c r="DU149" s="5">
        <v>3</v>
      </c>
      <c r="DV149" s="7">
        <v>141000</v>
      </c>
      <c r="DX149" s="7">
        <v>800</v>
      </c>
      <c r="DY149" s="7">
        <v>700</v>
      </c>
      <c r="EC149" s="5" t="s">
        <v>111</v>
      </c>
      <c r="ED149" s="5" t="s">
        <v>111</v>
      </c>
      <c r="EE149" s="5">
        <v>0</v>
      </c>
      <c r="EF149" s="5">
        <v>0</v>
      </c>
      <c r="EG149" s="5" t="s">
        <v>111</v>
      </c>
      <c r="EH149" s="5" t="s">
        <v>111</v>
      </c>
      <c r="EI149" s="5" t="s">
        <v>111</v>
      </c>
      <c r="EJ149" s="5" t="s">
        <v>114</v>
      </c>
      <c r="EK149" s="5">
        <v>14</v>
      </c>
      <c r="EL149" s="5">
        <v>26</v>
      </c>
    </row>
    <row r="150" spans="1:142" x14ac:dyDescent="0.25">
      <c r="A150" s="5">
        <v>28</v>
      </c>
      <c r="B150" s="5" t="s">
        <v>405</v>
      </c>
      <c r="C150" s="5" t="s">
        <v>406</v>
      </c>
      <c r="D150" s="6"/>
      <c r="E150" s="6"/>
      <c r="F150" s="47"/>
      <c r="G150" s="5">
        <v>0</v>
      </c>
      <c r="H150" s="5">
        <v>50</v>
      </c>
      <c r="I150" s="5">
        <v>11</v>
      </c>
      <c r="J150" s="5">
        <v>8</v>
      </c>
      <c r="K150" s="1">
        <v>12</v>
      </c>
      <c r="L150" s="1">
        <f t="shared" si="22"/>
        <v>4</v>
      </c>
      <c r="M150" s="7" t="s">
        <v>107</v>
      </c>
      <c r="N150" s="7" t="s">
        <v>345</v>
      </c>
      <c r="O150" s="5" t="s">
        <v>407</v>
      </c>
      <c r="P150" s="7" t="s">
        <v>110</v>
      </c>
      <c r="Q150" s="7" t="s">
        <v>110</v>
      </c>
      <c r="R150" s="7">
        <v>3</v>
      </c>
      <c r="S150" s="7">
        <v>3</v>
      </c>
      <c r="T150" s="7">
        <v>1.2564</v>
      </c>
      <c r="Z150" s="8"/>
      <c r="AA150" s="8">
        <v>1</v>
      </c>
      <c r="AB150" s="8"/>
      <c r="AC150" s="8"/>
      <c r="AD150" s="8">
        <v>1</v>
      </c>
      <c r="AE150" s="8"/>
      <c r="AL150" s="5">
        <v>2</v>
      </c>
      <c r="AM150" s="5">
        <v>2</v>
      </c>
      <c r="AO150" s="7">
        <v>2</v>
      </c>
      <c r="AP150" s="7">
        <f t="shared" si="32"/>
        <v>0.13</v>
      </c>
      <c r="AQ150" s="7">
        <f t="shared" si="23"/>
        <v>23.076923076923077</v>
      </c>
      <c r="AR150" s="7">
        <f t="shared" si="24"/>
        <v>0</v>
      </c>
      <c r="AS150" s="7">
        <f t="shared" si="25"/>
        <v>0.5</v>
      </c>
      <c r="AT150" s="7">
        <f t="shared" si="26"/>
        <v>0</v>
      </c>
      <c r="AU150" s="7">
        <f t="shared" si="27"/>
        <v>0</v>
      </c>
      <c r="AV150" s="7">
        <f t="shared" si="28"/>
        <v>23.076923076923077</v>
      </c>
      <c r="AW150" s="7">
        <f t="shared" si="29"/>
        <v>0</v>
      </c>
      <c r="AX150" s="7">
        <f t="shared" si="30"/>
        <v>23.076923076923077</v>
      </c>
      <c r="AY150" s="7">
        <v>0</v>
      </c>
      <c r="AZ150" s="7">
        <v>21</v>
      </c>
      <c r="BA150" s="5">
        <v>42</v>
      </c>
      <c r="BB150" s="7">
        <v>0.5</v>
      </c>
      <c r="BC150" s="7">
        <v>48</v>
      </c>
      <c r="BD150" s="7">
        <f t="shared" si="31"/>
        <v>24</v>
      </c>
      <c r="BE150" s="5">
        <v>0</v>
      </c>
      <c r="BF150" s="5">
        <v>0</v>
      </c>
      <c r="BG150" s="5">
        <v>2600</v>
      </c>
      <c r="BH150" s="7">
        <v>30000</v>
      </c>
      <c r="BI150" s="7">
        <v>1600</v>
      </c>
      <c r="BJ150" s="7">
        <v>32</v>
      </c>
      <c r="BM150" s="5">
        <v>1</v>
      </c>
      <c r="BP150" s="5">
        <v>1</v>
      </c>
      <c r="BT150" s="5">
        <v>1</v>
      </c>
      <c r="CN150" s="5">
        <v>1</v>
      </c>
      <c r="CU150" s="5">
        <v>6</v>
      </c>
      <c r="CV150" s="5">
        <v>2</v>
      </c>
      <c r="CW150" s="5">
        <v>0</v>
      </c>
      <c r="CX150" s="7">
        <v>8</v>
      </c>
      <c r="CY150" s="5">
        <v>4</v>
      </c>
      <c r="DA150" s="5">
        <v>1</v>
      </c>
      <c r="DD150" s="5">
        <v>365</v>
      </c>
      <c r="DF150" s="5">
        <v>1</v>
      </c>
      <c r="DH150" s="5">
        <v>365</v>
      </c>
      <c r="DJ150" s="5">
        <v>1</v>
      </c>
      <c r="DL150" s="5">
        <v>365</v>
      </c>
      <c r="DM150" s="5">
        <v>1</v>
      </c>
      <c r="DQ150" s="5">
        <v>1</v>
      </c>
      <c r="DT150" s="5">
        <v>3</v>
      </c>
      <c r="DU150" s="5">
        <v>3</v>
      </c>
      <c r="DV150" s="7">
        <v>172000</v>
      </c>
      <c r="DX150" s="7">
        <v>800</v>
      </c>
      <c r="DY150" s="7">
        <v>800</v>
      </c>
      <c r="EC150" s="5" t="s">
        <v>111</v>
      </c>
      <c r="ED150" s="5" t="s">
        <v>111</v>
      </c>
      <c r="EE150" s="5">
        <v>0</v>
      </c>
      <c r="EF150" s="5">
        <v>0</v>
      </c>
      <c r="EG150" s="5" t="s">
        <v>111</v>
      </c>
      <c r="EH150" s="5" t="s">
        <v>111</v>
      </c>
      <c r="EI150" s="5" t="s">
        <v>111</v>
      </c>
      <c r="EJ150" s="5" t="s">
        <v>114</v>
      </c>
      <c r="EK150" s="5">
        <v>14</v>
      </c>
      <c r="EL150" s="5">
        <v>27</v>
      </c>
    </row>
    <row r="151" spans="1:142" x14ac:dyDescent="0.25">
      <c r="A151" s="5">
        <v>29</v>
      </c>
      <c r="B151" s="5" t="s">
        <v>408</v>
      </c>
      <c r="C151" s="5" t="s">
        <v>409</v>
      </c>
      <c r="D151" s="6"/>
      <c r="E151" s="6"/>
      <c r="F151" s="47"/>
      <c r="G151" s="5">
        <v>0</v>
      </c>
      <c r="H151" s="5">
        <v>39</v>
      </c>
      <c r="I151" s="5">
        <v>7</v>
      </c>
      <c r="J151" s="5">
        <v>3</v>
      </c>
      <c r="K151" s="1">
        <v>12</v>
      </c>
      <c r="L151" s="1">
        <f t="shared" si="22"/>
        <v>4</v>
      </c>
      <c r="M151" s="7" t="s">
        <v>140</v>
      </c>
      <c r="N151" s="7" t="s">
        <v>410</v>
      </c>
      <c r="O151" s="5" t="s">
        <v>120</v>
      </c>
      <c r="P151" s="7" t="s">
        <v>110</v>
      </c>
      <c r="Q151" s="7" t="s">
        <v>110</v>
      </c>
      <c r="R151" s="7">
        <v>3</v>
      </c>
      <c r="S151" s="7">
        <v>6</v>
      </c>
      <c r="T151" s="7">
        <v>0</v>
      </c>
      <c r="Z151" s="8"/>
      <c r="AA151" s="8"/>
      <c r="AB151" s="8">
        <v>1</v>
      </c>
      <c r="AC151" s="8"/>
      <c r="AD151" s="8"/>
      <c r="AE151" s="8"/>
      <c r="AO151" s="7">
        <v>1</v>
      </c>
      <c r="AP151" s="7">
        <f t="shared" si="32"/>
        <v>0.03</v>
      </c>
      <c r="AQ151" s="7">
        <f t="shared" si="23"/>
        <v>0</v>
      </c>
      <c r="AR151" s="7">
        <f t="shared" si="24"/>
        <v>0</v>
      </c>
      <c r="AS151" s="7">
        <f t="shared" si="25"/>
        <v>0</v>
      </c>
      <c r="AT151" s="7">
        <f t="shared" si="26"/>
        <v>100</v>
      </c>
      <c r="AU151" s="7">
        <f t="shared" si="27"/>
        <v>0</v>
      </c>
      <c r="AV151" s="7">
        <f t="shared" si="28"/>
        <v>0</v>
      </c>
      <c r="AW151" s="7">
        <f t="shared" si="29"/>
        <v>0</v>
      </c>
      <c r="AX151" s="7">
        <f t="shared" si="30"/>
        <v>0</v>
      </c>
      <c r="AY151" s="7">
        <v>0</v>
      </c>
      <c r="AZ151" s="7">
        <v>10</v>
      </c>
      <c r="BA151" s="5">
        <v>10</v>
      </c>
      <c r="BB151" s="7">
        <v>0</v>
      </c>
      <c r="BC151" s="7">
        <v>15</v>
      </c>
      <c r="BD151" s="7">
        <f t="shared" si="31"/>
        <v>15</v>
      </c>
      <c r="BE151" s="5">
        <v>0</v>
      </c>
      <c r="BF151" s="5">
        <v>0</v>
      </c>
      <c r="BG151" s="5">
        <v>800</v>
      </c>
      <c r="BH151" s="7">
        <v>30000</v>
      </c>
      <c r="BI151" s="7">
        <v>500</v>
      </c>
      <c r="BJ151" s="7">
        <v>10</v>
      </c>
      <c r="BX151" s="5">
        <v>1</v>
      </c>
      <c r="CU151" s="5">
        <v>2</v>
      </c>
      <c r="CV151" s="5">
        <v>2</v>
      </c>
      <c r="CW151" s="5">
        <v>0</v>
      </c>
      <c r="CX151" s="7">
        <v>8</v>
      </c>
      <c r="CY151" s="5">
        <v>4</v>
      </c>
      <c r="DA151" s="5">
        <v>1</v>
      </c>
      <c r="DC151" s="5">
        <v>1</v>
      </c>
      <c r="DD151" s="5">
        <v>365</v>
      </c>
      <c r="DF151" s="5">
        <v>1</v>
      </c>
      <c r="DG151" s="5">
        <v>1</v>
      </c>
      <c r="DH151" s="5">
        <v>365</v>
      </c>
      <c r="DJ151" s="5">
        <v>1</v>
      </c>
      <c r="DK151" s="5">
        <v>1</v>
      </c>
      <c r="DL151" s="5">
        <v>365</v>
      </c>
      <c r="DM151" s="5">
        <v>1</v>
      </c>
      <c r="DO151" s="5">
        <v>1</v>
      </c>
      <c r="DQ151" s="5">
        <v>1</v>
      </c>
      <c r="DS151" s="5">
        <v>1</v>
      </c>
      <c r="DT151" s="5">
        <v>3</v>
      </c>
      <c r="DU151" s="5">
        <v>1</v>
      </c>
      <c r="DX151" s="7">
        <v>650</v>
      </c>
      <c r="DY151" s="7">
        <v>800</v>
      </c>
      <c r="EC151" s="5" t="s">
        <v>111</v>
      </c>
      <c r="ED151" s="5" t="s">
        <v>111</v>
      </c>
      <c r="EE151" s="5">
        <v>0</v>
      </c>
      <c r="EF151" s="5">
        <v>0</v>
      </c>
      <c r="EG151" s="5" t="s">
        <v>111</v>
      </c>
      <c r="EH151" s="5" t="s">
        <v>111</v>
      </c>
      <c r="EI151" s="5" t="s">
        <v>111</v>
      </c>
      <c r="EJ151" s="5" t="s">
        <v>114</v>
      </c>
      <c r="EK151" s="5">
        <v>13</v>
      </c>
      <c r="EL151" s="5">
        <v>27</v>
      </c>
    </row>
    <row r="152" spans="1:142" x14ac:dyDescent="0.25">
      <c r="A152" s="5">
        <v>30</v>
      </c>
      <c r="B152" s="5" t="s">
        <v>411</v>
      </c>
      <c r="C152" s="5" t="s">
        <v>412</v>
      </c>
      <c r="D152" s="6"/>
      <c r="E152" s="6"/>
      <c r="F152" s="47"/>
      <c r="G152" s="5">
        <v>0</v>
      </c>
      <c r="H152" s="5">
        <v>34</v>
      </c>
      <c r="I152" s="5">
        <v>6</v>
      </c>
      <c r="J152" s="5">
        <v>3</v>
      </c>
      <c r="K152" s="1">
        <v>10</v>
      </c>
      <c r="L152" s="1">
        <f t="shared" si="22"/>
        <v>3</v>
      </c>
      <c r="M152" s="7" t="s">
        <v>107</v>
      </c>
      <c r="N152" s="7" t="s">
        <v>352</v>
      </c>
      <c r="O152" s="5" t="s">
        <v>120</v>
      </c>
      <c r="P152" s="7" t="s">
        <v>110</v>
      </c>
      <c r="Q152" s="7" t="s">
        <v>110</v>
      </c>
      <c r="R152" s="7">
        <v>2</v>
      </c>
      <c r="S152" s="7">
        <v>6</v>
      </c>
      <c r="T152" s="7">
        <v>0</v>
      </c>
      <c r="Z152" s="8">
        <v>1</v>
      </c>
      <c r="AA152" s="8"/>
      <c r="AB152" s="8"/>
      <c r="AC152" s="8"/>
      <c r="AD152" s="8"/>
      <c r="AE152" s="8">
        <v>1</v>
      </c>
      <c r="AO152" s="7">
        <v>2</v>
      </c>
      <c r="AP152" s="7">
        <f t="shared" si="32"/>
        <v>0.13</v>
      </c>
      <c r="AQ152" s="7">
        <f t="shared" si="23"/>
        <v>23.076923076923077</v>
      </c>
      <c r="AR152" s="7">
        <f t="shared" si="24"/>
        <v>0.5</v>
      </c>
      <c r="AS152" s="7">
        <f t="shared" si="25"/>
        <v>0</v>
      </c>
      <c r="AT152" s="7">
        <f t="shared" si="26"/>
        <v>0</v>
      </c>
      <c r="AU152" s="7">
        <f t="shared" si="27"/>
        <v>0</v>
      </c>
      <c r="AV152" s="7">
        <f t="shared" si="28"/>
        <v>0</v>
      </c>
      <c r="AW152" s="7">
        <f t="shared" si="29"/>
        <v>23.076923076923077</v>
      </c>
      <c r="AX152" s="7">
        <f t="shared" si="30"/>
        <v>23.076923076923077</v>
      </c>
      <c r="AY152" s="7">
        <v>0</v>
      </c>
      <c r="AZ152" s="7">
        <v>18.5</v>
      </c>
      <c r="BA152" s="5">
        <v>37</v>
      </c>
      <c r="BB152" s="7">
        <v>0.5</v>
      </c>
      <c r="BC152" s="7">
        <v>43</v>
      </c>
      <c r="BD152" s="7">
        <f t="shared" si="31"/>
        <v>21.5</v>
      </c>
      <c r="BE152" s="5">
        <v>1</v>
      </c>
      <c r="BF152" s="5">
        <v>600</v>
      </c>
      <c r="BG152" s="5">
        <v>2300</v>
      </c>
      <c r="BH152" s="7">
        <v>30000</v>
      </c>
      <c r="BI152" s="7">
        <v>1500</v>
      </c>
      <c r="BJ152" s="7">
        <v>30</v>
      </c>
      <c r="BP152" s="5">
        <v>1</v>
      </c>
      <c r="BQ152" s="5">
        <v>1</v>
      </c>
      <c r="CU152" s="5">
        <v>2</v>
      </c>
      <c r="CV152" s="5">
        <v>2</v>
      </c>
      <c r="CW152" s="5">
        <v>0</v>
      </c>
      <c r="CX152" s="7">
        <v>8</v>
      </c>
      <c r="CY152" s="5">
        <v>4</v>
      </c>
      <c r="DA152" s="5">
        <v>1</v>
      </c>
      <c r="DD152" s="5">
        <v>365</v>
      </c>
      <c r="DF152" s="5">
        <v>1</v>
      </c>
      <c r="DH152" s="5">
        <v>365</v>
      </c>
      <c r="DJ152" s="5">
        <v>1</v>
      </c>
      <c r="DL152" s="5">
        <v>365</v>
      </c>
      <c r="DM152" s="5">
        <v>1</v>
      </c>
      <c r="DQ152" s="5">
        <v>1</v>
      </c>
      <c r="DT152" s="5">
        <v>3</v>
      </c>
      <c r="DU152" s="5">
        <v>2</v>
      </c>
      <c r="DX152" s="7">
        <v>800</v>
      </c>
      <c r="DY152" s="7">
        <v>900</v>
      </c>
      <c r="EC152" s="5" t="s">
        <v>111</v>
      </c>
      <c r="ED152" s="5" t="s">
        <v>111</v>
      </c>
      <c r="EE152" s="5">
        <v>0</v>
      </c>
      <c r="EF152" s="5">
        <v>0</v>
      </c>
      <c r="EG152" s="5" t="s">
        <v>111</v>
      </c>
      <c r="EH152" s="5" t="s">
        <v>111</v>
      </c>
      <c r="EI152" s="5" t="s">
        <v>111</v>
      </c>
      <c r="EJ152" s="5" t="s">
        <v>114</v>
      </c>
      <c r="EK152" s="5">
        <v>14</v>
      </c>
      <c r="EL152" s="5">
        <v>26</v>
      </c>
    </row>
    <row r="153" spans="1:142" x14ac:dyDescent="0.25">
      <c r="A153" s="5">
        <v>31</v>
      </c>
      <c r="B153" s="5" t="s">
        <v>413</v>
      </c>
      <c r="C153" s="5" t="s">
        <v>414</v>
      </c>
      <c r="D153" s="6"/>
      <c r="E153" s="6"/>
      <c r="F153" s="47"/>
      <c r="G153" s="5">
        <v>0</v>
      </c>
      <c r="H153" s="5">
        <v>38</v>
      </c>
      <c r="I153" s="5">
        <v>9</v>
      </c>
      <c r="J153" s="5">
        <v>6</v>
      </c>
      <c r="K153" s="1">
        <v>13</v>
      </c>
      <c r="L153" s="1">
        <f t="shared" si="22"/>
        <v>5</v>
      </c>
      <c r="M153" s="7" t="s">
        <v>140</v>
      </c>
      <c r="N153" s="7" t="s">
        <v>415</v>
      </c>
      <c r="O153" s="5" t="s">
        <v>120</v>
      </c>
      <c r="P153" s="7" t="s">
        <v>110</v>
      </c>
      <c r="Q153" s="7" t="s">
        <v>110</v>
      </c>
      <c r="R153" s="7">
        <v>3</v>
      </c>
      <c r="S153" s="7">
        <v>6</v>
      </c>
      <c r="T153" s="7">
        <v>1.2564</v>
      </c>
      <c r="Z153" s="8"/>
      <c r="AA153" s="8"/>
      <c r="AB153" s="8"/>
      <c r="AC153" s="8">
        <v>1</v>
      </c>
      <c r="AD153" s="8"/>
      <c r="AE153" s="8"/>
      <c r="AL153" s="5">
        <v>3</v>
      </c>
      <c r="AM153" s="5">
        <v>5</v>
      </c>
      <c r="AO153" s="7">
        <v>1</v>
      </c>
      <c r="AP153" s="7">
        <f t="shared" si="32"/>
        <v>0.03</v>
      </c>
      <c r="AQ153" s="7">
        <f t="shared" si="23"/>
        <v>0</v>
      </c>
      <c r="AR153" s="7">
        <f t="shared" si="24"/>
        <v>0</v>
      </c>
      <c r="AS153" s="7">
        <f t="shared" si="25"/>
        <v>0</v>
      </c>
      <c r="AT153" s="7">
        <f t="shared" si="26"/>
        <v>0</v>
      </c>
      <c r="AU153" s="7">
        <f t="shared" si="27"/>
        <v>100</v>
      </c>
      <c r="AV153" s="7">
        <f t="shared" si="28"/>
        <v>0</v>
      </c>
      <c r="AW153" s="7">
        <f t="shared" si="29"/>
        <v>0</v>
      </c>
      <c r="AX153" s="7">
        <f t="shared" si="30"/>
        <v>100</v>
      </c>
      <c r="AY153" s="7">
        <v>0</v>
      </c>
      <c r="AZ153" s="7">
        <v>11</v>
      </c>
      <c r="BA153" s="5">
        <v>11</v>
      </c>
      <c r="BB153" s="7">
        <v>0</v>
      </c>
      <c r="BC153" s="7">
        <v>16</v>
      </c>
      <c r="BD153" s="7">
        <f t="shared" si="31"/>
        <v>16</v>
      </c>
      <c r="BE153" s="5">
        <v>0</v>
      </c>
      <c r="BF153" s="5">
        <v>0</v>
      </c>
      <c r="BG153" s="5">
        <v>900</v>
      </c>
      <c r="BH153" s="7">
        <v>15000</v>
      </c>
      <c r="BI153" s="7">
        <v>500</v>
      </c>
      <c r="BJ153" s="7">
        <v>10</v>
      </c>
      <c r="CA153" s="5">
        <v>1</v>
      </c>
      <c r="CU153" s="5">
        <v>2</v>
      </c>
      <c r="CV153" s="5">
        <v>2</v>
      </c>
      <c r="CW153" s="5">
        <v>0</v>
      </c>
      <c r="CX153" s="7">
        <v>8</v>
      </c>
      <c r="CY153" s="5">
        <v>2</v>
      </c>
      <c r="DA153" s="5">
        <v>1</v>
      </c>
      <c r="DC153" s="5">
        <v>1</v>
      </c>
      <c r="DD153" s="5">
        <v>365</v>
      </c>
      <c r="DF153" s="5">
        <v>1</v>
      </c>
      <c r="DG153" s="5">
        <v>1</v>
      </c>
      <c r="DH153" s="5">
        <v>365</v>
      </c>
      <c r="DJ153" s="5">
        <v>1</v>
      </c>
      <c r="DK153" s="5">
        <v>1</v>
      </c>
      <c r="DL153" s="5">
        <v>365</v>
      </c>
      <c r="DM153" s="5">
        <v>1</v>
      </c>
      <c r="DO153" s="5">
        <v>1</v>
      </c>
      <c r="DQ153" s="5">
        <v>1</v>
      </c>
      <c r="DS153" s="5">
        <v>1</v>
      </c>
      <c r="DT153" s="5">
        <v>3</v>
      </c>
      <c r="DU153" s="5">
        <v>3</v>
      </c>
      <c r="DV153" s="7">
        <v>109000</v>
      </c>
      <c r="DX153" s="7">
        <v>650</v>
      </c>
      <c r="DY153" s="7">
        <v>800</v>
      </c>
      <c r="EC153" s="5" t="s">
        <v>111</v>
      </c>
      <c r="ED153" s="5" t="s">
        <v>111</v>
      </c>
      <c r="EE153" s="5">
        <v>0</v>
      </c>
      <c r="EF153" s="5">
        <v>0</v>
      </c>
      <c r="EG153" s="5" t="s">
        <v>111</v>
      </c>
      <c r="EH153" s="5" t="s">
        <v>111</v>
      </c>
      <c r="EI153" s="5" t="s">
        <v>111</v>
      </c>
      <c r="EJ153" s="5" t="s">
        <v>114</v>
      </c>
      <c r="EK153" s="5">
        <v>14</v>
      </c>
      <c r="EL153" s="5">
        <v>26</v>
      </c>
    </row>
    <row r="154" spans="1:142" x14ac:dyDescent="0.25">
      <c r="A154" s="5">
        <v>32</v>
      </c>
      <c r="B154" s="5" t="s">
        <v>416</v>
      </c>
      <c r="C154" s="5" t="s">
        <v>417</v>
      </c>
      <c r="D154" s="6"/>
      <c r="E154" s="6"/>
      <c r="F154" s="47"/>
      <c r="G154" s="5">
        <v>0</v>
      </c>
      <c r="H154" s="5">
        <v>33</v>
      </c>
      <c r="I154" s="5">
        <v>5</v>
      </c>
      <c r="J154" s="5">
        <v>1</v>
      </c>
      <c r="K154" s="1">
        <v>12</v>
      </c>
      <c r="L154" s="1">
        <f t="shared" si="22"/>
        <v>4</v>
      </c>
      <c r="M154" s="7" t="s">
        <v>107</v>
      </c>
      <c r="N154" s="7" t="s">
        <v>352</v>
      </c>
      <c r="O154" s="5" t="s">
        <v>120</v>
      </c>
      <c r="P154" s="7" t="s">
        <v>110</v>
      </c>
      <c r="Q154" s="7" t="s">
        <v>110</v>
      </c>
      <c r="R154" s="7">
        <v>2</v>
      </c>
      <c r="S154" s="7">
        <v>3</v>
      </c>
      <c r="T154" s="7">
        <v>0</v>
      </c>
      <c r="Z154" s="8"/>
      <c r="AA154" s="8"/>
      <c r="AB154" s="8">
        <v>1</v>
      </c>
      <c r="AC154" s="8"/>
      <c r="AD154" s="8">
        <v>1</v>
      </c>
      <c r="AE154" s="8"/>
      <c r="AO154" s="7">
        <v>2</v>
      </c>
      <c r="AP154" s="7">
        <f t="shared" si="32"/>
        <v>0.13</v>
      </c>
      <c r="AQ154" s="7">
        <f t="shared" si="23"/>
        <v>0</v>
      </c>
      <c r="AR154" s="7">
        <f t="shared" si="24"/>
        <v>0</v>
      </c>
      <c r="AS154" s="7">
        <f t="shared" si="25"/>
        <v>0</v>
      </c>
      <c r="AT154" s="7">
        <f t="shared" si="26"/>
        <v>23.076923076923077</v>
      </c>
      <c r="AU154" s="7">
        <f t="shared" si="27"/>
        <v>0</v>
      </c>
      <c r="AV154" s="7">
        <f t="shared" si="28"/>
        <v>23.076923076923077</v>
      </c>
      <c r="AW154" s="7">
        <f t="shared" si="29"/>
        <v>0</v>
      </c>
      <c r="AX154" s="7">
        <f t="shared" si="30"/>
        <v>0</v>
      </c>
      <c r="AY154" s="7">
        <v>0</v>
      </c>
      <c r="AZ154" s="7">
        <v>14.5</v>
      </c>
      <c r="BA154" s="5">
        <v>29</v>
      </c>
      <c r="BB154" s="7">
        <v>0</v>
      </c>
      <c r="BC154" s="7">
        <v>34</v>
      </c>
      <c r="BD154" s="7">
        <f t="shared" si="31"/>
        <v>17</v>
      </c>
      <c r="BE154" s="5">
        <v>0</v>
      </c>
      <c r="BF154" s="5">
        <v>0</v>
      </c>
      <c r="BG154" s="5">
        <v>1900</v>
      </c>
      <c r="BH154" s="7">
        <v>15000</v>
      </c>
      <c r="BI154" s="7">
        <v>1100</v>
      </c>
      <c r="BJ154" s="7">
        <v>22</v>
      </c>
      <c r="BM154" s="5">
        <v>1</v>
      </c>
      <c r="BX154" s="5">
        <v>1</v>
      </c>
      <c r="CU154" s="5">
        <v>6</v>
      </c>
      <c r="CV154" s="5">
        <v>2</v>
      </c>
      <c r="CW154" s="5">
        <v>0</v>
      </c>
      <c r="CX154" s="7">
        <v>8</v>
      </c>
      <c r="CY154" s="5">
        <v>2</v>
      </c>
      <c r="DA154" s="5">
        <v>1</v>
      </c>
      <c r="DD154" s="5">
        <v>365</v>
      </c>
      <c r="DF154" s="5">
        <v>2</v>
      </c>
      <c r="DH154" s="5">
        <v>365</v>
      </c>
      <c r="DJ154" s="5">
        <v>1</v>
      </c>
      <c r="DL154" s="5">
        <v>365</v>
      </c>
      <c r="DM154" s="5">
        <v>1</v>
      </c>
      <c r="DQ154" s="5">
        <v>1</v>
      </c>
      <c r="DT154" s="5">
        <v>3</v>
      </c>
      <c r="DU154" s="5">
        <v>2</v>
      </c>
      <c r="DX154" s="7">
        <v>800</v>
      </c>
      <c r="DY154" s="7">
        <v>900</v>
      </c>
      <c r="EC154" s="5" t="s">
        <v>111</v>
      </c>
      <c r="ED154" s="5" t="s">
        <v>111</v>
      </c>
      <c r="EE154" s="5">
        <v>0</v>
      </c>
      <c r="EF154" s="5">
        <v>0</v>
      </c>
      <c r="EG154" s="5" t="s">
        <v>111</v>
      </c>
      <c r="EH154" s="5" t="s">
        <v>111</v>
      </c>
      <c r="EI154" s="5" t="s">
        <v>111</v>
      </c>
      <c r="EJ154" s="5" t="s">
        <v>114</v>
      </c>
      <c r="EK154" s="5">
        <v>13</v>
      </c>
      <c r="EL154" s="5">
        <v>27</v>
      </c>
    </row>
    <row r="155" spans="1:142" x14ac:dyDescent="0.25">
      <c r="A155" s="5">
        <v>33</v>
      </c>
      <c r="B155" s="5" t="s">
        <v>418</v>
      </c>
      <c r="C155" s="5" t="s">
        <v>419</v>
      </c>
      <c r="D155" s="6"/>
      <c r="E155" s="6"/>
      <c r="F155" s="47"/>
      <c r="G155" s="5">
        <v>0</v>
      </c>
      <c r="H155" s="5">
        <v>52</v>
      </c>
      <c r="I155" s="5">
        <v>14</v>
      </c>
      <c r="J155" s="5">
        <v>10</v>
      </c>
      <c r="K155" s="1">
        <v>0</v>
      </c>
      <c r="L155" s="1">
        <f t="shared" si="22"/>
        <v>0</v>
      </c>
      <c r="M155" s="7" t="s">
        <v>140</v>
      </c>
      <c r="N155" s="7" t="s">
        <v>420</v>
      </c>
      <c r="O155" s="5" t="s">
        <v>340</v>
      </c>
      <c r="P155" s="7" t="s">
        <v>110</v>
      </c>
      <c r="Q155" s="7" t="s">
        <v>110</v>
      </c>
      <c r="R155" s="7">
        <v>3</v>
      </c>
      <c r="S155" s="7">
        <v>5</v>
      </c>
      <c r="T155" s="7">
        <v>0</v>
      </c>
      <c r="Z155" s="8"/>
      <c r="AA155" s="8">
        <v>1</v>
      </c>
      <c r="AB155" s="8"/>
      <c r="AC155" s="8"/>
      <c r="AD155" s="8"/>
      <c r="AE155" s="8"/>
      <c r="AO155" s="7">
        <v>1</v>
      </c>
      <c r="AP155" s="7">
        <f t="shared" si="32"/>
        <v>0.03</v>
      </c>
      <c r="AQ155" s="7">
        <f t="shared" si="23"/>
        <v>100</v>
      </c>
      <c r="AR155" s="7">
        <f t="shared" si="24"/>
        <v>0</v>
      </c>
      <c r="AS155" s="7">
        <f t="shared" si="25"/>
        <v>1</v>
      </c>
      <c r="AT155" s="7">
        <f t="shared" si="26"/>
        <v>0</v>
      </c>
      <c r="AU155" s="7">
        <f t="shared" si="27"/>
        <v>0</v>
      </c>
      <c r="AV155" s="7">
        <f t="shared" si="28"/>
        <v>0</v>
      </c>
      <c r="AW155" s="7">
        <f t="shared" si="29"/>
        <v>0</v>
      </c>
      <c r="AX155" s="7">
        <f t="shared" si="30"/>
        <v>100</v>
      </c>
      <c r="AY155" s="7">
        <v>0</v>
      </c>
      <c r="AZ155" s="7">
        <v>6</v>
      </c>
      <c r="BA155" s="5">
        <v>6</v>
      </c>
      <c r="BB155" s="7">
        <v>0</v>
      </c>
      <c r="BC155" s="7">
        <v>7</v>
      </c>
      <c r="BD155" s="7">
        <f t="shared" si="31"/>
        <v>7</v>
      </c>
      <c r="BE155" s="5">
        <v>0</v>
      </c>
      <c r="BF155" s="5">
        <v>0</v>
      </c>
      <c r="BG155" s="5">
        <v>400</v>
      </c>
      <c r="BH155" s="7">
        <v>15000</v>
      </c>
      <c r="BI155" s="7">
        <v>300</v>
      </c>
      <c r="BJ155" s="7">
        <v>6</v>
      </c>
      <c r="CU155" s="5">
        <v>2</v>
      </c>
      <c r="CV155" s="5">
        <v>2</v>
      </c>
      <c r="CW155" s="5">
        <v>0</v>
      </c>
      <c r="CX155" s="7">
        <v>8</v>
      </c>
      <c r="CY155" s="5">
        <v>2</v>
      </c>
      <c r="DA155" s="5">
        <v>1</v>
      </c>
      <c r="DB155" s="5">
        <v>1</v>
      </c>
      <c r="DD155" s="5">
        <v>365</v>
      </c>
      <c r="DF155" s="5">
        <v>1</v>
      </c>
      <c r="DH155" s="5">
        <v>365</v>
      </c>
      <c r="DJ155" s="5">
        <v>1</v>
      </c>
      <c r="DL155" s="5">
        <v>365</v>
      </c>
      <c r="DM155" s="5">
        <v>1</v>
      </c>
      <c r="DQ155" s="5">
        <v>1</v>
      </c>
      <c r="DT155" s="5">
        <v>3</v>
      </c>
      <c r="DU155" s="5">
        <v>1</v>
      </c>
      <c r="DX155" s="7">
        <v>650</v>
      </c>
      <c r="DY155" s="7">
        <v>500</v>
      </c>
      <c r="EC155" s="5" t="s">
        <v>111</v>
      </c>
      <c r="ED155" s="5" t="s">
        <v>111</v>
      </c>
      <c r="EE155" s="5">
        <v>0</v>
      </c>
      <c r="EF155" s="5">
        <v>0</v>
      </c>
      <c r="EG155" s="5" t="s">
        <v>111</v>
      </c>
      <c r="EH155" s="5" t="s">
        <v>111</v>
      </c>
      <c r="EI155" s="5" t="s">
        <v>111</v>
      </c>
      <c r="EJ155" s="5" t="s">
        <v>114</v>
      </c>
      <c r="EK155" s="5">
        <v>14</v>
      </c>
      <c r="EL155" s="5">
        <v>27</v>
      </c>
    </row>
    <row r="156" spans="1:142" x14ac:dyDescent="0.25">
      <c r="A156" s="5">
        <v>34</v>
      </c>
      <c r="B156" s="5" t="s">
        <v>421</v>
      </c>
      <c r="C156" s="5" t="s">
        <v>422</v>
      </c>
      <c r="D156" s="6"/>
      <c r="E156" s="6"/>
      <c r="F156" s="47"/>
      <c r="G156" s="5">
        <v>0</v>
      </c>
      <c r="H156" s="5">
        <v>45</v>
      </c>
      <c r="I156" s="5">
        <v>12</v>
      </c>
      <c r="J156" s="5">
        <v>7</v>
      </c>
      <c r="K156" s="1">
        <v>0</v>
      </c>
      <c r="L156" s="1">
        <f t="shared" si="22"/>
        <v>0</v>
      </c>
      <c r="M156" s="7" t="s">
        <v>107</v>
      </c>
      <c r="N156" s="7" t="s">
        <v>340</v>
      </c>
      <c r="O156" s="5" t="s">
        <v>120</v>
      </c>
      <c r="P156" s="7" t="s">
        <v>110</v>
      </c>
      <c r="Q156" s="7" t="s">
        <v>110</v>
      </c>
      <c r="R156" s="7">
        <v>3</v>
      </c>
      <c r="S156" s="7">
        <v>4</v>
      </c>
      <c r="T156" s="7">
        <v>0</v>
      </c>
      <c r="Z156" s="8"/>
      <c r="AA156" s="8"/>
      <c r="AB156" s="8"/>
      <c r="AC156" s="8">
        <v>1</v>
      </c>
      <c r="AD156" s="8"/>
      <c r="AE156" s="8"/>
      <c r="AL156" s="5">
        <v>1</v>
      </c>
      <c r="AM156" s="5">
        <v>5</v>
      </c>
      <c r="AO156" s="7">
        <v>1</v>
      </c>
      <c r="AP156" s="7">
        <f t="shared" si="32"/>
        <v>0.03</v>
      </c>
      <c r="AQ156" s="7">
        <f t="shared" si="23"/>
        <v>0</v>
      </c>
      <c r="AR156" s="7">
        <f t="shared" si="24"/>
        <v>0</v>
      </c>
      <c r="AS156" s="7">
        <f t="shared" si="25"/>
        <v>0</v>
      </c>
      <c r="AT156" s="7">
        <f t="shared" si="26"/>
        <v>0</v>
      </c>
      <c r="AU156" s="7">
        <f t="shared" si="27"/>
        <v>100</v>
      </c>
      <c r="AV156" s="7">
        <f t="shared" si="28"/>
        <v>0</v>
      </c>
      <c r="AW156" s="7">
        <f t="shared" si="29"/>
        <v>0</v>
      </c>
      <c r="AX156" s="7">
        <f t="shared" si="30"/>
        <v>100</v>
      </c>
      <c r="AY156" s="7">
        <v>0</v>
      </c>
      <c r="AZ156" s="7">
        <v>11</v>
      </c>
      <c r="BA156" s="5">
        <v>11</v>
      </c>
      <c r="BB156" s="7">
        <v>0</v>
      </c>
      <c r="BC156" s="7">
        <v>13</v>
      </c>
      <c r="BD156" s="7">
        <f t="shared" si="31"/>
        <v>13</v>
      </c>
      <c r="BE156" s="5">
        <v>0</v>
      </c>
      <c r="BF156" s="5">
        <v>0</v>
      </c>
      <c r="BG156" s="5">
        <v>700</v>
      </c>
      <c r="BH156" s="7">
        <v>15000</v>
      </c>
      <c r="BI156" s="7">
        <v>500</v>
      </c>
      <c r="BJ156" s="7">
        <v>10</v>
      </c>
      <c r="CA156" s="5">
        <v>1</v>
      </c>
      <c r="CU156" s="5">
        <v>2</v>
      </c>
      <c r="CV156" s="5">
        <v>2</v>
      </c>
      <c r="CW156" s="5">
        <v>0</v>
      </c>
      <c r="CX156" s="7">
        <v>8</v>
      </c>
      <c r="CY156" s="5">
        <v>2</v>
      </c>
      <c r="DA156" s="5">
        <v>1</v>
      </c>
      <c r="DC156" s="5">
        <v>1</v>
      </c>
      <c r="DD156" s="5">
        <v>365</v>
      </c>
      <c r="DF156" s="5">
        <v>1</v>
      </c>
      <c r="DG156" s="5">
        <v>1</v>
      </c>
      <c r="DH156" s="5">
        <v>365</v>
      </c>
      <c r="DJ156" s="5">
        <v>1</v>
      </c>
      <c r="DK156" s="5">
        <v>1</v>
      </c>
      <c r="DL156" s="5">
        <v>365</v>
      </c>
      <c r="DM156" s="5">
        <v>1</v>
      </c>
      <c r="DO156" s="5">
        <v>1</v>
      </c>
      <c r="DQ156" s="5">
        <v>1</v>
      </c>
      <c r="DS156" s="5">
        <v>1</v>
      </c>
      <c r="DT156" s="5">
        <v>3</v>
      </c>
      <c r="DU156" s="5">
        <v>2</v>
      </c>
      <c r="DX156" s="7">
        <v>650</v>
      </c>
      <c r="DY156" s="7">
        <v>500</v>
      </c>
      <c r="EC156" s="5" t="s">
        <v>111</v>
      </c>
      <c r="ED156" s="5" t="s">
        <v>111</v>
      </c>
      <c r="EE156" s="5">
        <v>0</v>
      </c>
      <c r="EF156" s="5">
        <v>0</v>
      </c>
      <c r="EG156" s="5" t="s">
        <v>111</v>
      </c>
      <c r="EH156" s="5" t="s">
        <v>111</v>
      </c>
      <c r="EI156" s="5" t="s">
        <v>111</v>
      </c>
      <c r="EJ156" s="5" t="s">
        <v>114</v>
      </c>
      <c r="EK156" s="5">
        <v>13</v>
      </c>
      <c r="EL156" s="5">
        <v>27</v>
      </c>
    </row>
    <row r="157" spans="1:142" x14ac:dyDescent="0.25">
      <c r="A157" s="5">
        <v>35</v>
      </c>
      <c r="B157" s="5" t="s">
        <v>423</v>
      </c>
      <c r="C157" s="5" t="s">
        <v>424</v>
      </c>
      <c r="D157" s="6"/>
      <c r="E157" s="6"/>
      <c r="F157" s="47"/>
      <c r="G157" s="5">
        <v>0</v>
      </c>
      <c r="H157" s="5">
        <v>34</v>
      </c>
      <c r="I157" s="5">
        <v>4</v>
      </c>
      <c r="J157" s="5">
        <v>1</v>
      </c>
      <c r="K157" s="1">
        <v>0</v>
      </c>
      <c r="L157" s="1">
        <f t="shared" si="22"/>
        <v>0</v>
      </c>
      <c r="M157" s="7" t="s">
        <v>140</v>
      </c>
      <c r="N157" s="7" t="s">
        <v>363</v>
      </c>
      <c r="O157" s="5" t="s">
        <v>120</v>
      </c>
      <c r="P157" s="7" t="s">
        <v>110</v>
      </c>
      <c r="Q157" s="7" t="s">
        <v>110</v>
      </c>
      <c r="R157" s="7">
        <v>2</v>
      </c>
      <c r="S157" s="7">
        <v>2</v>
      </c>
      <c r="T157" s="7">
        <v>1.2564</v>
      </c>
      <c r="Z157" s="8"/>
      <c r="AA157" s="8">
        <v>1</v>
      </c>
      <c r="AB157" s="8"/>
      <c r="AC157" s="8"/>
      <c r="AD157" s="8"/>
      <c r="AE157" s="8"/>
      <c r="AO157" s="7">
        <v>1</v>
      </c>
      <c r="AP157" s="7">
        <f t="shared" si="32"/>
        <v>0.03</v>
      </c>
      <c r="AQ157" s="7">
        <f t="shared" si="23"/>
        <v>100</v>
      </c>
      <c r="AR157" s="7">
        <f t="shared" si="24"/>
        <v>0</v>
      </c>
      <c r="AS157" s="7">
        <f t="shared" si="25"/>
        <v>1</v>
      </c>
      <c r="AT157" s="7">
        <f t="shared" si="26"/>
        <v>0</v>
      </c>
      <c r="AU157" s="7">
        <f t="shared" si="27"/>
        <v>0</v>
      </c>
      <c r="AV157" s="7">
        <f t="shared" si="28"/>
        <v>0</v>
      </c>
      <c r="AW157" s="7">
        <f t="shared" si="29"/>
        <v>0</v>
      </c>
      <c r="AX157" s="7">
        <f t="shared" si="30"/>
        <v>100</v>
      </c>
      <c r="AY157" s="7">
        <v>0</v>
      </c>
      <c r="AZ157" s="7">
        <v>3</v>
      </c>
      <c r="BA157" s="5">
        <v>3</v>
      </c>
      <c r="BB157" s="7">
        <v>0</v>
      </c>
      <c r="BC157" s="7">
        <v>5</v>
      </c>
      <c r="BD157" s="7">
        <f t="shared" si="31"/>
        <v>5</v>
      </c>
      <c r="BE157" s="5">
        <v>0</v>
      </c>
      <c r="BF157" s="5">
        <v>0</v>
      </c>
      <c r="BG157" s="5">
        <v>300</v>
      </c>
      <c r="BH157" s="7">
        <v>15000</v>
      </c>
      <c r="BI157" s="7">
        <v>200</v>
      </c>
      <c r="BJ157" s="7">
        <v>4</v>
      </c>
      <c r="BZ157" s="5">
        <v>1</v>
      </c>
      <c r="CU157" s="5">
        <v>2</v>
      </c>
      <c r="CV157" s="5">
        <v>2</v>
      </c>
      <c r="CW157" s="5">
        <v>0</v>
      </c>
      <c r="CX157" s="7">
        <v>8</v>
      </c>
      <c r="CY157" s="5">
        <v>2</v>
      </c>
      <c r="DA157" s="5">
        <v>1</v>
      </c>
      <c r="DD157" s="5">
        <v>365</v>
      </c>
      <c r="DF157" s="5">
        <v>1</v>
      </c>
      <c r="DH157" s="5">
        <v>365</v>
      </c>
      <c r="DJ157" s="5">
        <v>1</v>
      </c>
      <c r="DL157" s="5">
        <v>365</v>
      </c>
      <c r="DM157" s="5">
        <v>1</v>
      </c>
      <c r="DQ157" s="5">
        <v>1</v>
      </c>
      <c r="DT157" s="5">
        <v>3</v>
      </c>
      <c r="DU157" s="5">
        <v>2</v>
      </c>
      <c r="DX157" s="7">
        <v>650</v>
      </c>
      <c r="DY157" s="7">
        <v>500</v>
      </c>
      <c r="EC157" s="5" t="s">
        <v>111</v>
      </c>
      <c r="ED157" s="5" t="s">
        <v>111</v>
      </c>
      <c r="EE157" s="5">
        <v>0</v>
      </c>
      <c r="EF157" s="5">
        <v>0</v>
      </c>
      <c r="EG157" s="5" t="s">
        <v>111</v>
      </c>
      <c r="EH157" s="5" t="s">
        <v>111</v>
      </c>
      <c r="EI157" s="5" t="s">
        <v>111</v>
      </c>
      <c r="EJ157" s="5" t="s">
        <v>114</v>
      </c>
      <c r="EK157" s="5">
        <v>14</v>
      </c>
      <c r="EL157" s="5">
        <v>26</v>
      </c>
    </row>
    <row r="158" spans="1:142" x14ac:dyDescent="0.25">
      <c r="A158" s="5">
        <v>36</v>
      </c>
      <c r="B158" s="5" t="s">
        <v>425</v>
      </c>
      <c r="C158" s="5" t="s">
        <v>426</v>
      </c>
      <c r="D158" s="6"/>
      <c r="E158" s="6"/>
      <c r="F158" s="47"/>
      <c r="G158" s="5">
        <v>0</v>
      </c>
      <c r="H158" s="5">
        <v>31</v>
      </c>
      <c r="I158" s="5">
        <v>4</v>
      </c>
      <c r="J158" s="5">
        <v>1</v>
      </c>
      <c r="K158" s="1">
        <v>12</v>
      </c>
      <c r="L158" s="1">
        <f t="shared" si="22"/>
        <v>4</v>
      </c>
      <c r="M158" s="7" t="s">
        <v>107</v>
      </c>
      <c r="N158" s="7" t="s">
        <v>352</v>
      </c>
      <c r="O158" s="5" t="s">
        <v>120</v>
      </c>
      <c r="P158" s="7" t="s">
        <v>110</v>
      </c>
      <c r="Q158" s="7" t="s">
        <v>110</v>
      </c>
      <c r="R158" s="7">
        <v>1</v>
      </c>
      <c r="S158" s="7">
        <v>3</v>
      </c>
      <c r="T158" s="7">
        <v>0</v>
      </c>
      <c r="Z158" s="8"/>
      <c r="AA158" s="8">
        <v>1</v>
      </c>
      <c r="AB158" s="8"/>
      <c r="AC158" s="8"/>
      <c r="AD158" s="8">
        <v>1</v>
      </c>
      <c r="AE158" s="8"/>
      <c r="AO158" s="7">
        <v>2</v>
      </c>
      <c r="AP158" s="7">
        <f t="shared" si="32"/>
        <v>0.13</v>
      </c>
      <c r="AQ158" s="7">
        <f t="shared" si="23"/>
        <v>23.076923076923077</v>
      </c>
      <c r="AR158" s="7">
        <f t="shared" si="24"/>
        <v>0</v>
      </c>
      <c r="AS158" s="7">
        <f t="shared" si="25"/>
        <v>0.5</v>
      </c>
      <c r="AT158" s="7">
        <f t="shared" si="26"/>
        <v>0</v>
      </c>
      <c r="AU158" s="7">
        <f t="shared" si="27"/>
        <v>0</v>
      </c>
      <c r="AV158" s="7">
        <f t="shared" si="28"/>
        <v>23.076923076923077</v>
      </c>
      <c r="AW158" s="7">
        <f t="shared" si="29"/>
        <v>0</v>
      </c>
      <c r="AX158" s="7">
        <f t="shared" si="30"/>
        <v>23.076923076923077</v>
      </c>
      <c r="AY158" s="7">
        <v>0</v>
      </c>
      <c r="AZ158" s="7">
        <v>9.5</v>
      </c>
      <c r="BA158" s="5">
        <v>19</v>
      </c>
      <c r="BB158" s="7">
        <v>0</v>
      </c>
      <c r="BC158" s="7">
        <v>26</v>
      </c>
      <c r="BD158" s="7">
        <f t="shared" si="31"/>
        <v>13</v>
      </c>
      <c r="BE158" s="5">
        <v>0</v>
      </c>
      <c r="BF158" s="5">
        <v>0</v>
      </c>
      <c r="BG158" s="5">
        <v>1400</v>
      </c>
      <c r="BH158" s="7">
        <v>30000</v>
      </c>
      <c r="BI158" s="7">
        <v>1000</v>
      </c>
      <c r="BJ158" s="7">
        <v>20</v>
      </c>
      <c r="BM158" s="5">
        <v>1</v>
      </c>
      <c r="BW158" s="5">
        <v>1</v>
      </c>
      <c r="CU158" s="5">
        <v>2</v>
      </c>
      <c r="CV158" s="5">
        <v>2</v>
      </c>
      <c r="CW158" s="5">
        <v>0</v>
      </c>
      <c r="CX158" s="7">
        <v>8</v>
      </c>
      <c r="CY158" s="5">
        <v>4</v>
      </c>
      <c r="DA158" s="5">
        <v>1</v>
      </c>
      <c r="DD158" s="5">
        <v>365</v>
      </c>
      <c r="DF158" s="5">
        <v>1</v>
      </c>
      <c r="DH158" s="5">
        <v>365</v>
      </c>
      <c r="DJ158" s="5">
        <v>1</v>
      </c>
      <c r="DL158" s="5">
        <v>365</v>
      </c>
      <c r="DM158" s="5">
        <v>1</v>
      </c>
      <c r="DQ158" s="5">
        <v>1</v>
      </c>
      <c r="DT158" s="5">
        <v>3</v>
      </c>
      <c r="DU158" s="5">
        <v>2</v>
      </c>
      <c r="DX158" s="7">
        <v>800</v>
      </c>
      <c r="DY158" s="7">
        <v>900</v>
      </c>
      <c r="EC158" s="5" t="s">
        <v>111</v>
      </c>
      <c r="ED158" s="5" t="s">
        <v>111</v>
      </c>
      <c r="EE158" s="5">
        <v>0</v>
      </c>
      <c r="EF158" s="5">
        <v>0</v>
      </c>
      <c r="EG158" s="5" t="s">
        <v>111</v>
      </c>
      <c r="EH158" s="5" t="s">
        <v>111</v>
      </c>
      <c r="EI158" s="5" t="s">
        <v>111</v>
      </c>
      <c r="EJ158" s="5" t="s">
        <v>114</v>
      </c>
      <c r="EK158" s="5">
        <v>14</v>
      </c>
      <c r="EL158" s="5">
        <v>27</v>
      </c>
    </row>
    <row r="159" spans="1:142" x14ac:dyDescent="0.25">
      <c r="A159" s="5">
        <v>37</v>
      </c>
      <c r="B159" s="5" t="s">
        <v>427</v>
      </c>
      <c r="C159" s="5" t="s">
        <v>428</v>
      </c>
      <c r="D159" s="6"/>
      <c r="E159" s="6"/>
      <c r="F159" s="47"/>
      <c r="G159" s="5">
        <v>0</v>
      </c>
      <c r="H159" s="5">
        <v>46</v>
      </c>
      <c r="I159" s="5">
        <v>9</v>
      </c>
      <c r="J159" s="5">
        <v>6</v>
      </c>
      <c r="K159" s="1">
        <v>0</v>
      </c>
      <c r="L159" s="1">
        <f t="shared" si="22"/>
        <v>0</v>
      </c>
      <c r="M159" s="7" t="s">
        <v>140</v>
      </c>
      <c r="N159" s="7" t="s">
        <v>420</v>
      </c>
      <c r="O159" s="5" t="s">
        <v>340</v>
      </c>
      <c r="P159" s="7" t="s">
        <v>110</v>
      </c>
      <c r="Q159" s="7" t="s">
        <v>110</v>
      </c>
      <c r="R159" s="7">
        <v>2</v>
      </c>
      <c r="S159" s="7">
        <v>4</v>
      </c>
      <c r="T159" s="7">
        <v>2.5882000000000001</v>
      </c>
      <c r="Z159" s="8"/>
      <c r="AA159" s="8"/>
      <c r="AB159" s="8"/>
      <c r="AC159" s="8">
        <v>1</v>
      </c>
      <c r="AD159" s="8"/>
      <c r="AE159" s="8"/>
      <c r="AO159" s="7">
        <v>1</v>
      </c>
      <c r="AP159" s="7">
        <f t="shared" si="32"/>
        <v>0.03</v>
      </c>
      <c r="AQ159" s="7">
        <f t="shared" si="23"/>
        <v>0</v>
      </c>
      <c r="AR159" s="7">
        <f t="shared" si="24"/>
        <v>0</v>
      </c>
      <c r="AS159" s="7">
        <f t="shared" si="25"/>
        <v>0</v>
      </c>
      <c r="AT159" s="7">
        <f t="shared" si="26"/>
        <v>0</v>
      </c>
      <c r="AU159" s="7">
        <f t="shared" si="27"/>
        <v>100</v>
      </c>
      <c r="AV159" s="7">
        <f t="shared" si="28"/>
        <v>0</v>
      </c>
      <c r="AW159" s="7">
        <f t="shared" si="29"/>
        <v>0</v>
      </c>
      <c r="AX159" s="7">
        <f t="shared" si="30"/>
        <v>100</v>
      </c>
      <c r="AY159" s="7">
        <v>0</v>
      </c>
      <c r="AZ159" s="7">
        <v>8</v>
      </c>
      <c r="BA159" s="5">
        <v>8</v>
      </c>
      <c r="BB159" s="7">
        <v>0</v>
      </c>
      <c r="BC159" s="7">
        <v>10</v>
      </c>
      <c r="BD159" s="7">
        <f t="shared" si="31"/>
        <v>10</v>
      </c>
      <c r="BE159" s="5">
        <v>0</v>
      </c>
      <c r="BF159" s="5">
        <v>0</v>
      </c>
      <c r="BG159" s="5">
        <v>600</v>
      </c>
      <c r="BH159" s="7">
        <v>30000</v>
      </c>
      <c r="BI159" s="7">
        <v>400</v>
      </c>
      <c r="BJ159" s="7">
        <v>8</v>
      </c>
      <c r="CA159" s="5">
        <v>1</v>
      </c>
      <c r="CU159" s="5">
        <v>2</v>
      </c>
      <c r="CV159" s="5">
        <v>2</v>
      </c>
      <c r="CW159" s="5">
        <v>0</v>
      </c>
      <c r="CX159" s="7">
        <v>8</v>
      </c>
      <c r="CY159" s="5">
        <v>4</v>
      </c>
      <c r="DA159" s="5">
        <v>1</v>
      </c>
      <c r="DC159" s="5">
        <v>1</v>
      </c>
      <c r="DD159" s="5">
        <v>365</v>
      </c>
      <c r="DF159" s="5">
        <v>1</v>
      </c>
      <c r="DG159" s="5">
        <v>1</v>
      </c>
      <c r="DH159" s="5">
        <v>365</v>
      </c>
      <c r="DJ159" s="5">
        <v>1</v>
      </c>
      <c r="DK159" s="5">
        <v>1</v>
      </c>
      <c r="DL159" s="5">
        <v>365</v>
      </c>
      <c r="DM159" s="5">
        <v>1</v>
      </c>
      <c r="DO159" s="5">
        <v>1</v>
      </c>
      <c r="DQ159" s="5">
        <v>1</v>
      </c>
      <c r="DS159" s="5">
        <v>1</v>
      </c>
      <c r="DT159" s="5">
        <v>3</v>
      </c>
      <c r="DU159" s="5">
        <v>1</v>
      </c>
      <c r="DX159" s="7">
        <v>650</v>
      </c>
      <c r="DY159" s="7">
        <v>500</v>
      </c>
      <c r="EC159" s="5" t="s">
        <v>111</v>
      </c>
      <c r="ED159" s="5" t="s">
        <v>111</v>
      </c>
      <c r="EE159" s="5">
        <v>0</v>
      </c>
      <c r="EF159" s="5">
        <v>0</v>
      </c>
      <c r="EG159" s="5" t="s">
        <v>111</v>
      </c>
      <c r="EH159" s="5" t="s">
        <v>111</v>
      </c>
      <c r="EI159" s="5" t="s">
        <v>111</v>
      </c>
      <c r="EJ159" s="5" t="s">
        <v>114</v>
      </c>
      <c r="EK159" s="5">
        <v>13</v>
      </c>
      <c r="EL159" s="5">
        <v>26</v>
      </c>
    </row>
    <row r="160" spans="1:142" x14ac:dyDescent="0.25">
      <c r="A160" s="5">
        <v>38</v>
      </c>
      <c r="B160" s="5" t="s">
        <v>429</v>
      </c>
      <c r="C160" s="5" t="s">
        <v>430</v>
      </c>
      <c r="D160" s="6"/>
      <c r="E160" s="6"/>
      <c r="F160" s="47"/>
      <c r="G160" s="5">
        <v>0</v>
      </c>
      <c r="H160" s="5">
        <v>30</v>
      </c>
      <c r="I160" s="5">
        <v>5</v>
      </c>
      <c r="J160" s="5">
        <v>2</v>
      </c>
      <c r="K160" s="1">
        <v>0</v>
      </c>
      <c r="L160" s="1">
        <f t="shared" si="22"/>
        <v>0</v>
      </c>
      <c r="M160" s="7" t="s">
        <v>107</v>
      </c>
      <c r="N160" s="7" t="s">
        <v>120</v>
      </c>
      <c r="O160" s="5" t="s">
        <v>340</v>
      </c>
      <c r="P160" s="7" t="s">
        <v>110</v>
      </c>
      <c r="Q160" s="7" t="s">
        <v>110</v>
      </c>
      <c r="R160" s="7">
        <v>3</v>
      </c>
      <c r="S160" s="7">
        <v>5</v>
      </c>
      <c r="T160" s="7">
        <v>0</v>
      </c>
      <c r="Z160" s="8"/>
      <c r="AA160" s="8">
        <v>1</v>
      </c>
      <c r="AB160" s="8">
        <v>1</v>
      </c>
      <c r="AC160" s="8"/>
      <c r="AD160" s="8"/>
      <c r="AE160" s="8"/>
      <c r="AO160" s="7">
        <v>2</v>
      </c>
      <c r="AP160" s="7">
        <f t="shared" si="32"/>
        <v>0.06</v>
      </c>
      <c r="AQ160" s="7">
        <f t="shared" si="23"/>
        <v>50</v>
      </c>
      <c r="AR160" s="7">
        <f t="shared" si="24"/>
        <v>0</v>
      </c>
      <c r="AS160" s="7">
        <f t="shared" si="25"/>
        <v>0.5</v>
      </c>
      <c r="AT160" s="7">
        <f t="shared" si="26"/>
        <v>50</v>
      </c>
      <c r="AU160" s="7">
        <f t="shared" si="27"/>
        <v>0</v>
      </c>
      <c r="AV160" s="7">
        <f t="shared" si="28"/>
        <v>0</v>
      </c>
      <c r="AW160" s="7">
        <f t="shared" si="29"/>
        <v>0</v>
      </c>
      <c r="AX160" s="7">
        <f t="shared" si="30"/>
        <v>50</v>
      </c>
      <c r="AY160" s="7">
        <v>0</v>
      </c>
      <c r="AZ160" s="7">
        <v>6</v>
      </c>
      <c r="BA160" s="5">
        <v>12</v>
      </c>
      <c r="BB160" s="7">
        <v>0.5</v>
      </c>
      <c r="BC160" s="7">
        <v>17</v>
      </c>
      <c r="BD160" s="7">
        <f t="shared" si="31"/>
        <v>8.5</v>
      </c>
      <c r="BE160" s="5">
        <v>0</v>
      </c>
      <c r="BF160" s="5">
        <v>0</v>
      </c>
      <c r="BG160" s="5">
        <v>1000</v>
      </c>
      <c r="BH160" s="7">
        <v>30000</v>
      </c>
      <c r="BI160" s="7">
        <v>600</v>
      </c>
      <c r="BJ160" s="7">
        <v>12</v>
      </c>
      <c r="BP160" s="5">
        <v>1</v>
      </c>
      <c r="BT160" s="5">
        <v>1</v>
      </c>
      <c r="BX160" s="5">
        <v>1</v>
      </c>
      <c r="CN160" s="5">
        <v>1</v>
      </c>
      <c r="CU160" s="5">
        <v>6</v>
      </c>
      <c r="CV160" s="5">
        <v>2</v>
      </c>
      <c r="CW160" s="5">
        <v>0</v>
      </c>
      <c r="CX160" s="7">
        <v>8</v>
      </c>
      <c r="CY160" s="5">
        <v>4</v>
      </c>
      <c r="DA160" s="5">
        <v>1</v>
      </c>
      <c r="DD160" s="5">
        <v>365</v>
      </c>
      <c r="DF160" s="5">
        <v>1</v>
      </c>
      <c r="DH160" s="5">
        <v>365</v>
      </c>
      <c r="DJ160" s="5">
        <v>1</v>
      </c>
      <c r="DL160" s="5">
        <v>365</v>
      </c>
      <c r="DM160" s="5">
        <v>1</v>
      </c>
      <c r="DQ160" s="5">
        <v>1</v>
      </c>
      <c r="DT160" s="5">
        <v>3</v>
      </c>
      <c r="DU160" s="5">
        <v>1</v>
      </c>
      <c r="DX160" s="7">
        <v>800</v>
      </c>
      <c r="DY160" s="7">
        <v>600</v>
      </c>
      <c r="EC160" s="5" t="s">
        <v>111</v>
      </c>
      <c r="ED160" s="5" t="s">
        <v>111</v>
      </c>
      <c r="EE160" s="5">
        <v>0</v>
      </c>
      <c r="EF160" s="5">
        <v>0</v>
      </c>
      <c r="EG160" s="5" t="s">
        <v>111</v>
      </c>
      <c r="EH160" s="5" t="s">
        <v>111</v>
      </c>
      <c r="EI160" s="5" t="s">
        <v>111</v>
      </c>
      <c r="EJ160" s="5" t="s">
        <v>114</v>
      </c>
      <c r="EK160" s="5">
        <v>14</v>
      </c>
      <c r="EL160" s="5">
        <v>27</v>
      </c>
    </row>
    <row r="161" spans="1:142" x14ac:dyDescent="0.25">
      <c r="A161" s="5">
        <v>39</v>
      </c>
      <c r="B161" s="5" t="s">
        <v>431</v>
      </c>
      <c r="C161" s="5" t="s">
        <v>432</v>
      </c>
      <c r="D161" s="6"/>
      <c r="E161" s="6"/>
      <c r="F161" s="47"/>
      <c r="G161" s="5">
        <v>0</v>
      </c>
      <c r="H161" s="5">
        <v>55</v>
      </c>
      <c r="I161" s="5">
        <v>14</v>
      </c>
      <c r="J161" s="5">
        <v>11</v>
      </c>
      <c r="K161" s="1">
        <v>0</v>
      </c>
      <c r="L161" s="1">
        <f t="shared" si="22"/>
        <v>0</v>
      </c>
      <c r="M161" s="7" t="s">
        <v>140</v>
      </c>
      <c r="N161" s="7" t="s">
        <v>120</v>
      </c>
      <c r="O161" s="5" t="s">
        <v>340</v>
      </c>
      <c r="P161" s="7" t="s">
        <v>110</v>
      </c>
      <c r="Q161" s="7" t="s">
        <v>110</v>
      </c>
      <c r="R161" s="7">
        <v>2</v>
      </c>
      <c r="S161" s="7">
        <v>6</v>
      </c>
      <c r="T161" s="7">
        <v>0</v>
      </c>
      <c r="Z161" s="8"/>
      <c r="AA161" s="8"/>
      <c r="AB161" s="8"/>
      <c r="AC161" s="8">
        <v>1</v>
      </c>
      <c r="AD161" s="8"/>
      <c r="AE161" s="8"/>
      <c r="AO161" s="7">
        <v>1</v>
      </c>
      <c r="AP161" s="7">
        <f t="shared" si="32"/>
        <v>0.03</v>
      </c>
      <c r="AQ161" s="7">
        <f t="shared" si="23"/>
        <v>0</v>
      </c>
      <c r="AR161" s="7">
        <f t="shared" si="24"/>
        <v>0</v>
      </c>
      <c r="AS161" s="7">
        <f t="shared" si="25"/>
        <v>0</v>
      </c>
      <c r="AT161" s="7">
        <f t="shared" si="26"/>
        <v>0</v>
      </c>
      <c r="AU161" s="7">
        <f t="shared" si="27"/>
        <v>100</v>
      </c>
      <c r="AV161" s="7">
        <f t="shared" si="28"/>
        <v>0</v>
      </c>
      <c r="AW161" s="7">
        <f t="shared" si="29"/>
        <v>0</v>
      </c>
      <c r="AX161" s="7">
        <f t="shared" si="30"/>
        <v>100</v>
      </c>
      <c r="AY161" s="7">
        <v>0</v>
      </c>
      <c r="AZ161" s="7">
        <v>9</v>
      </c>
      <c r="BA161" s="5">
        <v>9</v>
      </c>
      <c r="BB161" s="7">
        <v>0</v>
      </c>
      <c r="BC161" s="7">
        <v>11</v>
      </c>
      <c r="BD161" s="7">
        <f t="shared" si="31"/>
        <v>11</v>
      </c>
      <c r="BE161" s="5">
        <v>0</v>
      </c>
      <c r="BF161" s="5">
        <v>0</v>
      </c>
      <c r="BG161" s="5">
        <v>600</v>
      </c>
      <c r="BH161" s="7">
        <v>30000</v>
      </c>
      <c r="BI161" s="7">
        <v>400</v>
      </c>
      <c r="BJ161" s="7">
        <v>8</v>
      </c>
      <c r="BZ161" s="5">
        <v>1</v>
      </c>
      <c r="CU161" s="5">
        <v>2</v>
      </c>
      <c r="CV161" s="5">
        <v>2</v>
      </c>
      <c r="CW161" s="5">
        <v>0</v>
      </c>
      <c r="CX161" s="7">
        <v>8</v>
      </c>
      <c r="CY161" s="5">
        <v>4</v>
      </c>
      <c r="DA161" s="5">
        <v>1</v>
      </c>
      <c r="DD161" s="5">
        <v>365</v>
      </c>
      <c r="DF161" s="5">
        <v>1</v>
      </c>
      <c r="DH161" s="5">
        <v>365</v>
      </c>
      <c r="DJ161" s="5">
        <v>1</v>
      </c>
      <c r="DL161" s="5">
        <v>365</v>
      </c>
      <c r="DM161" s="5">
        <v>1</v>
      </c>
      <c r="DQ161" s="5">
        <v>1</v>
      </c>
      <c r="DT161" s="5">
        <v>3</v>
      </c>
      <c r="DU161" s="5">
        <v>1</v>
      </c>
      <c r="DX161" s="7">
        <v>650</v>
      </c>
      <c r="DY161" s="7">
        <v>600</v>
      </c>
      <c r="EC161" s="5" t="s">
        <v>111</v>
      </c>
      <c r="ED161" s="5" t="s">
        <v>111</v>
      </c>
      <c r="EE161" s="5">
        <v>0</v>
      </c>
      <c r="EF161" s="5">
        <v>0</v>
      </c>
      <c r="EG161" s="5" t="s">
        <v>111</v>
      </c>
      <c r="EH161" s="5" t="s">
        <v>111</v>
      </c>
      <c r="EI161" s="5" t="s">
        <v>111</v>
      </c>
      <c r="EJ161" s="5" t="s">
        <v>114</v>
      </c>
      <c r="EK161" s="5">
        <v>13</v>
      </c>
      <c r="EL161" s="5">
        <v>26</v>
      </c>
    </row>
    <row r="162" spans="1:142" x14ac:dyDescent="0.25">
      <c r="A162" s="5">
        <v>40</v>
      </c>
      <c r="B162" s="5" t="s">
        <v>433</v>
      </c>
      <c r="C162" s="5" t="s">
        <v>434</v>
      </c>
      <c r="D162" s="6"/>
      <c r="E162" s="6"/>
      <c r="F162" s="47"/>
      <c r="G162" s="5">
        <v>0</v>
      </c>
      <c r="H162" s="5">
        <v>33</v>
      </c>
      <c r="I162" s="5">
        <v>5</v>
      </c>
      <c r="J162" s="5">
        <v>2</v>
      </c>
      <c r="K162" s="1">
        <v>0</v>
      </c>
      <c r="L162" s="1">
        <f t="shared" si="22"/>
        <v>0</v>
      </c>
      <c r="M162" s="7" t="s">
        <v>107</v>
      </c>
      <c r="N162" s="7" t="s">
        <v>120</v>
      </c>
      <c r="O162" s="5" t="s">
        <v>340</v>
      </c>
      <c r="P162" s="7" t="s">
        <v>110</v>
      </c>
      <c r="Q162" s="7" t="s">
        <v>110</v>
      </c>
      <c r="R162" s="7">
        <v>2</v>
      </c>
      <c r="S162" s="7">
        <v>2</v>
      </c>
      <c r="T162" s="7">
        <v>0</v>
      </c>
      <c r="U162" s="5">
        <v>1</v>
      </c>
      <c r="Z162" s="8"/>
      <c r="AA162" s="8"/>
      <c r="AB162" s="8">
        <v>1</v>
      </c>
      <c r="AC162" s="8"/>
      <c r="AD162" s="8"/>
      <c r="AE162" s="8"/>
      <c r="AO162" s="7">
        <v>1</v>
      </c>
      <c r="AP162" s="7">
        <f t="shared" si="32"/>
        <v>0.03</v>
      </c>
      <c r="AQ162" s="7">
        <f t="shared" si="23"/>
        <v>0</v>
      </c>
      <c r="AR162" s="7">
        <f t="shared" si="24"/>
        <v>0</v>
      </c>
      <c r="AS162" s="7">
        <f t="shared" si="25"/>
        <v>0</v>
      </c>
      <c r="AT162" s="7">
        <f t="shared" si="26"/>
        <v>100</v>
      </c>
      <c r="AU162" s="7">
        <f t="shared" si="27"/>
        <v>0</v>
      </c>
      <c r="AV162" s="7">
        <f t="shared" si="28"/>
        <v>0</v>
      </c>
      <c r="AW162" s="7">
        <f t="shared" si="29"/>
        <v>0</v>
      </c>
      <c r="AX162" s="7">
        <f t="shared" si="30"/>
        <v>0</v>
      </c>
      <c r="AY162" s="7">
        <v>0</v>
      </c>
      <c r="AZ162" s="7">
        <v>8</v>
      </c>
      <c r="BA162" s="5">
        <v>8</v>
      </c>
      <c r="BB162" s="7">
        <v>0</v>
      </c>
      <c r="BC162" s="7">
        <v>10</v>
      </c>
      <c r="BD162" s="7">
        <f t="shared" si="31"/>
        <v>10</v>
      </c>
      <c r="BE162" s="5">
        <v>0</v>
      </c>
      <c r="BF162" s="5">
        <v>0</v>
      </c>
      <c r="BG162" s="5">
        <v>600</v>
      </c>
      <c r="BH162" s="7">
        <v>30000</v>
      </c>
      <c r="BI162" s="7">
        <v>300</v>
      </c>
      <c r="BJ162" s="7">
        <v>6</v>
      </c>
      <c r="CU162" s="5">
        <v>6</v>
      </c>
      <c r="CV162" s="5">
        <v>2</v>
      </c>
      <c r="CW162" s="5">
        <v>0</v>
      </c>
      <c r="CX162" s="7">
        <v>8</v>
      </c>
      <c r="CY162" s="5">
        <v>4</v>
      </c>
      <c r="DA162" s="5">
        <v>1</v>
      </c>
      <c r="DC162" s="5">
        <v>2</v>
      </c>
      <c r="DD162" s="5">
        <v>365</v>
      </c>
      <c r="DF162" s="5">
        <v>1</v>
      </c>
      <c r="DH162" s="5">
        <v>365</v>
      </c>
      <c r="DJ162" s="5">
        <v>1</v>
      </c>
      <c r="DK162" s="5">
        <v>1</v>
      </c>
      <c r="DL162" s="5">
        <v>365</v>
      </c>
      <c r="DM162" s="5">
        <v>1</v>
      </c>
      <c r="DO162" s="5">
        <v>2</v>
      </c>
      <c r="DQ162" s="5">
        <v>1</v>
      </c>
      <c r="DS162" s="5">
        <v>1</v>
      </c>
      <c r="DT162" s="5">
        <v>3</v>
      </c>
      <c r="DU162" s="5">
        <v>1</v>
      </c>
      <c r="DX162" s="7">
        <v>650</v>
      </c>
      <c r="DY162" s="7">
        <v>500</v>
      </c>
      <c r="EC162" s="5" t="s">
        <v>111</v>
      </c>
      <c r="ED162" s="5" t="s">
        <v>111</v>
      </c>
      <c r="EE162" s="5">
        <v>0</v>
      </c>
      <c r="EF162" s="5">
        <v>0</v>
      </c>
      <c r="EG162" s="5" t="s">
        <v>111</v>
      </c>
      <c r="EH162" s="5" t="s">
        <v>111</v>
      </c>
      <c r="EI162" s="5" t="s">
        <v>111</v>
      </c>
      <c r="EJ162" s="5" t="s">
        <v>114</v>
      </c>
      <c r="EK162" s="5">
        <v>14</v>
      </c>
      <c r="EL162" s="5">
        <v>26</v>
      </c>
    </row>
    <row r="163" spans="1:142" x14ac:dyDescent="0.25">
      <c r="A163" s="5">
        <v>41</v>
      </c>
      <c r="B163" s="5" t="s">
        <v>435</v>
      </c>
      <c r="C163" s="5" t="s">
        <v>436</v>
      </c>
      <c r="D163" s="6"/>
      <c r="E163" s="6"/>
      <c r="F163" s="47"/>
      <c r="G163" s="5">
        <v>0</v>
      </c>
      <c r="H163" s="5">
        <v>38</v>
      </c>
      <c r="I163" s="5">
        <v>9</v>
      </c>
      <c r="J163" s="5">
        <v>5</v>
      </c>
      <c r="K163" s="1">
        <v>0</v>
      </c>
      <c r="L163" s="1">
        <f t="shared" si="22"/>
        <v>0</v>
      </c>
      <c r="M163" s="7" t="s">
        <v>140</v>
      </c>
      <c r="N163" s="7" t="s">
        <v>120</v>
      </c>
      <c r="O163" s="5" t="s">
        <v>340</v>
      </c>
      <c r="P163" s="7" t="s">
        <v>110</v>
      </c>
      <c r="Q163" s="7" t="s">
        <v>110</v>
      </c>
      <c r="R163" s="7">
        <v>1</v>
      </c>
      <c r="S163" s="7">
        <v>6</v>
      </c>
      <c r="T163" s="7">
        <v>0</v>
      </c>
      <c r="Z163" s="8"/>
      <c r="AA163" s="8"/>
      <c r="AB163" s="8"/>
      <c r="AC163" s="8">
        <v>1</v>
      </c>
      <c r="AD163" s="8">
        <v>1</v>
      </c>
      <c r="AE163" s="8"/>
      <c r="AO163" s="7">
        <v>2</v>
      </c>
      <c r="AP163" s="7">
        <f t="shared" si="32"/>
        <v>0.13</v>
      </c>
      <c r="AQ163" s="7">
        <f t="shared" si="23"/>
        <v>0</v>
      </c>
      <c r="AR163" s="7">
        <f t="shared" si="24"/>
        <v>0</v>
      </c>
      <c r="AS163" s="7">
        <f t="shared" si="25"/>
        <v>0</v>
      </c>
      <c r="AT163" s="7">
        <f t="shared" si="26"/>
        <v>0</v>
      </c>
      <c r="AU163" s="7">
        <f t="shared" si="27"/>
        <v>23.076923076923077</v>
      </c>
      <c r="AV163" s="7">
        <f t="shared" si="28"/>
        <v>23.076923076923077</v>
      </c>
      <c r="AW163" s="7">
        <f t="shared" si="29"/>
        <v>0</v>
      </c>
      <c r="AX163" s="7">
        <f t="shared" si="30"/>
        <v>23.076923076923077</v>
      </c>
      <c r="AY163" s="7">
        <v>0</v>
      </c>
      <c r="AZ163" s="7">
        <v>18.5</v>
      </c>
      <c r="BA163" s="5">
        <v>37</v>
      </c>
      <c r="BB163" s="7">
        <v>0</v>
      </c>
      <c r="BC163" s="7">
        <v>44</v>
      </c>
      <c r="BD163" s="7">
        <f t="shared" si="31"/>
        <v>22</v>
      </c>
      <c r="BE163" s="5">
        <v>0</v>
      </c>
      <c r="BF163" s="5">
        <v>0</v>
      </c>
      <c r="BG163" s="5">
        <v>2400</v>
      </c>
      <c r="BH163" s="7">
        <v>30000</v>
      </c>
      <c r="BI163" s="7">
        <v>1500</v>
      </c>
      <c r="BJ163" s="7">
        <v>30</v>
      </c>
      <c r="BW163" s="5">
        <v>1</v>
      </c>
      <c r="BZ163" s="5">
        <v>1</v>
      </c>
      <c r="CU163" s="5">
        <v>6</v>
      </c>
      <c r="CV163" s="5">
        <v>2</v>
      </c>
      <c r="CW163" s="5">
        <v>0</v>
      </c>
      <c r="CX163" s="7">
        <v>8</v>
      </c>
      <c r="CY163" s="5">
        <v>4</v>
      </c>
      <c r="DA163" s="5">
        <v>1</v>
      </c>
      <c r="DD163" s="5">
        <v>365</v>
      </c>
      <c r="DF163" s="5">
        <v>1</v>
      </c>
      <c r="DH163" s="5">
        <v>365</v>
      </c>
      <c r="DJ163" s="5">
        <v>1</v>
      </c>
      <c r="DL163" s="5">
        <v>365</v>
      </c>
      <c r="DM163" s="5">
        <v>1</v>
      </c>
      <c r="DQ163" s="5">
        <v>1</v>
      </c>
      <c r="DT163" s="5">
        <v>3</v>
      </c>
      <c r="DU163" s="5">
        <v>1</v>
      </c>
      <c r="DX163" s="7">
        <v>800</v>
      </c>
      <c r="DY163" s="7">
        <v>800</v>
      </c>
      <c r="EC163" s="5" t="s">
        <v>111</v>
      </c>
      <c r="ED163" s="5" t="s">
        <v>111</v>
      </c>
      <c r="EE163" s="5">
        <v>0</v>
      </c>
      <c r="EF163" s="5">
        <v>0</v>
      </c>
      <c r="EG163" s="5" t="s">
        <v>111</v>
      </c>
      <c r="EH163" s="5" t="s">
        <v>111</v>
      </c>
      <c r="EI163" s="5" t="s">
        <v>111</v>
      </c>
      <c r="EJ163" s="5" t="s">
        <v>114</v>
      </c>
      <c r="EK163" s="5">
        <v>14</v>
      </c>
      <c r="EL163" s="5">
        <v>27</v>
      </c>
    </row>
    <row r="164" spans="1:142" x14ac:dyDescent="0.25">
      <c r="A164" s="5">
        <v>42</v>
      </c>
      <c r="B164" s="5" t="s">
        <v>437</v>
      </c>
      <c r="C164" s="5" t="s">
        <v>438</v>
      </c>
      <c r="D164" s="6"/>
      <c r="E164" s="6"/>
      <c r="F164" s="47"/>
      <c r="G164" s="5">
        <v>0</v>
      </c>
      <c r="H164" s="5">
        <v>26</v>
      </c>
      <c r="I164" s="5">
        <v>2</v>
      </c>
      <c r="J164" s="5">
        <v>0</v>
      </c>
      <c r="K164" s="1">
        <v>13</v>
      </c>
      <c r="L164" s="1">
        <f t="shared" si="22"/>
        <v>5</v>
      </c>
      <c r="M164" s="7" t="s">
        <v>107</v>
      </c>
      <c r="N164" s="7" t="s">
        <v>174</v>
      </c>
      <c r="O164" s="5" t="s">
        <v>340</v>
      </c>
      <c r="P164" s="7" t="s">
        <v>110</v>
      </c>
      <c r="Q164" s="7" t="s">
        <v>110</v>
      </c>
      <c r="R164" s="7">
        <v>3</v>
      </c>
      <c r="S164" s="7">
        <v>4</v>
      </c>
      <c r="T164" s="7">
        <v>2.5882000000000001</v>
      </c>
      <c r="Z164" s="8"/>
      <c r="AA164" s="8"/>
      <c r="AB164" s="8">
        <v>1</v>
      </c>
      <c r="AC164" s="8"/>
      <c r="AD164" s="8"/>
      <c r="AE164" s="8">
        <v>1</v>
      </c>
      <c r="AO164" s="7">
        <v>2</v>
      </c>
      <c r="AP164" s="7">
        <f t="shared" si="32"/>
        <v>0.13</v>
      </c>
      <c r="AQ164" s="7">
        <f t="shared" si="23"/>
        <v>0</v>
      </c>
      <c r="AR164" s="7">
        <f t="shared" si="24"/>
        <v>0</v>
      </c>
      <c r="AS164" s="7">
        <f t="shared" si="25"/>
        <v>0</v>
      </c>
      <c r="AT164" s="7">
        <f t="shared" si="26"/>
        <v>23.076923076923077</v>
      </c>
      <c r="AU164" s="7">
        <f t="shared" si="27"/>
        <v>0</v>
      </c>
      <c r="AV164" s="7">
        <f t="shared" si="28"/>
        <v>0</v>
      </c>
      <c r="AW164" s="7">
        <f t="shared" si="29"/>
        <v>23.076923076923077</v>
      </c>
      <c r="AX164" s="7">
        <f t="shared" si="30"/>
        <v>23.076923076923077</v>
      </c>
      <c r="AY164" s="7">
        <v>0</v>
      </c>
      <c r="AZ164" s="7">
        <v>14.5</v>
      </c>
      <c r="BA164" s="5">
        <v>29</v>
      </c>
      <c r="BB164" s="7">
        <v>0</v>
      </c>
      <c r="BC164" s="7">
        <v>33</v>
      </c>
      <c r="BD164" s="7">
        <f t="shared" si="31"/>
        <v>16.5</v>
      </c>
      <c r="BE164" s="5">
        <v>1</v>
      </c>
      <c r="BF164" s="5">
        <v>250</v>
      </c>
      <c r="BG164" s="5">
        <v>1800</v>
      </c>
      <c r="BH164" s="7">
        <v>30000</v>
      </c>
      <c r="BI164" s="7">
        <v>1200</v>
      </c>
      <c r="BJ164" s="7">
        <v>24</v>
      </c>
      <c r="BP164" s="5">
        <v>1</v>
      </c>
      <c r="BR164" s="5">
        <v>1</v>
      </c>
      <c r="CU164" s="5">
        <v>2</v>
      </c>
      <c r="CV164" s="5">
        <v>2</v>
      </c>
      <c r="CW164" s="5">
        <v>0</v>
      </c>
      <c r="CX164" s="7">
        <v>8</v>
      </c>
      <c r="CY164" s="5">
        <v>4</v>
      </c>
      <c r="DA164" s="5">
        <v>1</v>
      </c>
      <c r="DC164" s="5">
        <v>2</v>
      </c>
      <c r="DD164" s="5">
        <v>365</v>
      </c>
      <c r="DF164" s="5">
        <v>1</v>
      </c>
      <c r="DH164" s="5">
        <v>365</v>
      </c>
      <c r="DJ164" s="5">
        <v>1</v>
      </c>
      <c r="DK164" s="5">
        <v>1</v>
      </c>
      <c r="DL164" s="5">
        <v>365</v>
      </c>
      <c r="DM164" s="5">
        <v>1</v>
      </c>
      <c r="DO164" s="5">
        <v>2</v>
      </c>
      <c r="DQ164" s="5">
        <v>1</v>
      </c>
      <c r="DS164" s="5">
        <v>1</v>
      </c>
      <c r="DT164" s="5">
        <v>3</v>
      </c>
      <c r="DU164" s="5">
        <v>2</v>
      </c>
      <c r="DX164" s="7">
        <v>800</v>
      </c>
      <c r="DY164" s="7">
        <v>900</v>
      </c>
      <c r="EC164" s="5" t="s">
        <v>111</v>
      </c>
      <c r="ED164" s="5" t="s">
        <v>111</v>
      </c>
      <c r="EE164" s="5">
        <v>0</v>
      </c>
      <c r="EF164" s="5">
        <v>0</v>
      </c>
      <c r="EG164" s="5" t="s">
        <v>111</v>
      </c>
      <c r="EH164" s="5" t="s">
        <v>111</v>
      </c>
      <c r="EI164" s="5" t="s">
        <v>111</v>
      </c>
      <c r="EJ164" s="5" t="s">
        <v>114</v>
      </c>
      <c r="EK164" s="5">
        <v>13</v>
      </c>
      <c r="EL164" s="5">
        <v>27</v>
      </c>
    </row>
    <row r="165" spans="1:142" x14ac:dyDescent="0.25">
      <c r="A165" s="5">
        <v>43</v>
      </c>
      <c r="B165" s="5" t="s">
        <v>439</v>
      </c>
      <c r="C165" s="5" t="s">
        <v>440</v>
      </c>
      <c r="D165" s="6"/>
      <c r="E165" s="6"/>
      <c r="F165" s="47"/>
      <c r="G165" s="5">
        <v>0</v>
      </c>
      <c r="H165" s="5">
        <v>34</v>
      </c>
      <c r="I165" s="5">
        <v>4</v>
      </c>
      <c r="J165" s="5">
        <v>1</v>
      </c>
      <c r="K165" s="1">
        <v>0</v>
      </c>
      <c r="L165" s="1">
        <f t="shared" si="22"/>
        <v>0</v>
      </c>
      <c r="M165" s="7" t="s">
        <v>140</v>
      </c>
      <c r="N165" s="7" t="s">
        <v>420</v>
      </c>
      <c r="O165" s="5" t="s">
        <v>340</v>
      </c>
      <c r="P165" s="7" t="s">
        <v>110</v>
      </c>
      <c r="Q165" s="7" t="s">
        <v>110</v>
      </c>
      <c r="R165" s="7">
        <v>3</v>
      </c>
      <c r="S165" s="7">
        <v>6</v>
      </c>
      <c r="T165" s="7">
        <v>0</v>
      </c>
      <c r="Z165" s="8"/>
      <c r="AA165" s="8"/>
      <c r="AB165" s="8">
        <v>1</v>
      </c>
      <c r="AC165" s="8"/>
      <c r="AD165" s="8"/>
      <c r="AE165" s="8"/>
      <c r="AO165" s="7">
        <v>1</v>
      </c>
      <c r="AP165" s="7">
        <f t="shared" si="32"/>
        <v>0.03</v>
      </c>
      <c r="AQ165" s="7">
        <f t="shared" si="23"/>
        <v>0</v>
      </c>
      <c r="AR165" s="7">
        <f t="shared" si="24"/>
        <v>0</v>
      </c>
      <c r="AS165" s="7">
        <f t="shared" si="25"/>
        <v>0</v>
      </c>
      <c r="AT165" s="7">
        <f t="shared" si="26"/>
        <v>100</v>
      </c>
      <c r="AU165" s="7">
        <f t="shared" si="27"/>
        <v>0</v>
      </c>
      <c r="AV165" s="7">
        <f t="shared" si="28"/>
        <v>0</v>
      </c>
      <c r="AW165" s="7">
        <f t="shared" si="29"/>
        <v>0</v>
      </c>
      <c r="AX165" s="7">
        <f t="shared" si="30"/>
        <v>0</v>
      </c>
      <c r="AY165" s="7">
        <v>0</v>
      </c>
      <c r="AZ165" s="7">
        <v>0</v>
      </c>
      <c r="BA165" s="5">
        <v>44</v>
      </c>
      <c r="BB165" s="7">
        <v>0</v>
      </c>
      <c r="BC165" s="7">
        <v>7</v>
      </c>
      <c r="BD165" s="7">
        <f t="shared" si="31"/>
        <v>7</v>
      </c>
      <c r="BE165" s="5">
        <v>0</v>
      </c>
      <c r="BF165" s="5">
        <v>0</v>
      </c>
      <c r="BG165" s="5">
        <v>400</v>
      </c>
      <c r="BH165" s="7">
        <v>30000</v>
      </c>
      <c r="BI165" s="7">
        <v>300</v>
      </c>
      <c r="BJ165" s="7">
        <v>6</v>
      </c>
      <c r="BX165" s="5">
        <v>1</v>
      </c>
      <c r="CU165" s="5">
        <v>2</v>
      </c>
      <c r="CV165" s="5">
        <v>2</v>
      </c>
      <c r="CW165" s="5">
        <v>0</v>
      </c>
      <c r="CX165" s="7">
        <v>8</v>
      </c>
      <c r="CY165" s="5">
        <v>4</v>
      </c>
      <c r="DA165" s="5">
        <v>1</v>
      </c>
      <c r="DD165" s="5">
        <v>365</v>
      </c>
      <c r="DF165" s="5">
        <v>1</v>
      </c>
      <c r="DH165" s="5">
        <v>365</v>
      </c>
      <c r="DJ165" s="5">
        <v>1</v>
      </c>
      <c r="DL165" s="5">
        <v>365</v>
      </c>
      <c r="DM165" s="5">
        <v>1</v>
      </c>
      <c r="DQ165" s="5">
        <v>1</v>
      </c>
      <c r="DT165" s="5">
        <v>3</v>
      </c>
      <c r="DU165" s="5">
        <v>2</v>
      </c>
      <c r="DX165" s="7">
        <v>650</v>
      </c>
      <c r="DY165" s="7">
        <v>500</v>
      </c>
      <c r="EC165" s="5" t="s">
        <v>111</v>
      </c>
      <c r="ED165" s="5" t="s">
        <v>111</v>
      </c>
      <c r="EE165" s="5">
        <v>0</v>
      </c>
      <c r="EF165" s="5">
        <v>0</v>
      </c>
      <c r="EG165" s="5" t="s">
        <v>111</v>
      </c>
      <c r="EH165" s="5" t="s">
        <v>111</v>
      </c>
      <c r="EI165" s="5" t="s">
        <v>111</v>
      </c>
      <c r="EJ165" s="5" t="s">
        <v>114</v>
      </c>
      <c r="EK165" s="5">
        <v>14</v>
      </c>
      <c r="EL165" s="5">
        <v>26</v>
      </c>
    </row>
    <row r="166" spans="1:142" x14ac:dyDescent="0.25">
      <c r="A166" s="5">
        <v>44</v>
      </c>
      <c r="B166" s="5" t="s">
        <v>441</v>
      </c>
      <c r="C166" s="5" t="s">
        <v>442</v>
      </c>
      <c r="D166" s="6"/>
      <c r="E166" s="6"/>
      <c r="F166" s="47"/>
      <c r="G166" s="5">
        <v>0</v>
      </c>
      <c r="H166" s="5">
        <v>47</v>
      </c>
      <c r="I166" s="5">
        <v>10</v>
      </c>
      <c r="J166" s="5">
        <v>6</v>
      </c>
      <c r="K166" s="1">
        <v>0</v>
      </c>
      <c r="L166" s="1">
        <f t="shared" si="22"/>
        <v>0</v>
      </c>
      <c r="M166" s="7" t="s">
        <v>107</v>
      </c>
      <c r="N166" s="7" t="s">
        <v>420</v>
      </c>
      <c r="O166" s="5" t="s">
        <v>340</v>
      </c>
      <c r="P166" s="7" t="s">
        <v>110</v>
      </c>
      <c r="Q166" s="7" t="s">
        <v>110</v>
      </c>
      <c r="R166" s="7">
        <v>1</v>
      </c>
      <c r="S166" s="7">
        <v>6</v>
      </c>
      <c r="T166" s="7">
        <v>0</v>
      </c>
      <c r="Z166" s="8"/>
      <c r="AA166" s="8"/>
      <c r="AB166" s="8">
        <v>1</v>
      </c>
      <c r="AC166" s="8"/>
      <c r="AD166" s="8">
        <v>1</v>
      </c>
      <c r="AE166" s="8"/>
      <c r="AO166" s="7">
        <v>2</v>
      </c>
      <c r="AP166" s="7">
        <f t="shared" si="32"/>
        <v>0.13</v>
      </c>
      <c r="AQ166" s="7">
        <f t="shared" si="23"/>
        <v>0</v>
      </c>
      <c r="AR166" s="7">
        <f t="shared" si="24"/>
        <v>0</v>
      </c>
      <c r="AS166" s="7">
        <f t="shared" si="25"/>
        <v>0</v>
      </c>
      <c r="AT166" s="7">
        <f t="shared" si="26"/>
        <v>23.076923076923077</v>
      </c>
      <c r="AU166" s="7">
        <f t="shared" si="27"/>
        <v>0</v>
      </c>
      <c r="AV166" s="7">
        <f t="shared" si="28"/>
        <v>23.076923076923077</v>
      </c>
      <c r="AW166" s="7">
        <f t="shared" si="29"/>
        <v>0</v>
      </c>
      <c r="AX166" s="7">
        <f t="shared" si="30"/>
        <v>0</v>
      </c>
      <c r="AY166" s="7">
        <v>0</v>
      </c>
      <c r="AZ166" s="7">
        <v>22</v>
      </c>
      <c r="BA166" s="5">
        <v>34</v>
      </c>
      <c r="BB166" s="7">
        <v>0</v>
      </c>
      <c r="BC166" s="7">
        <v>52</v>
      </c>
      <c r="BD166" s="7">
        <f t="shared" si="31"/>
        <v>26</v>
      </c>
      <c r="BE166" s="5">
        <v>0</v>
      </c>
      <c r="BF166" s="5">
        <v>0</v>
      </c>
      <c r="BG166" s="5">
        <v>2800</v>
      </c>
      <c r="BH166" s="7">
        <v>30000</v>
      </c>
      <c r="BI166" s="7">
        <v>1700</v>
      </c>
      <c r="BJ166" s="7">
        <v>34</v>
      </c>
      <c r="BM166" s="5">
        <v>1</v>
      </c>
      <c r="BW166" s="5">
        <v>1</v>
      </c>
      <c r="CU166" s="5">
        <v>2</v>
      </c>
      <c r="CV166" s="5">
        <v>2</v>
      </c>
      <c r="CW166" s="5">
        <v>0</v>
      </c>
      <c r="CX166" s="7">
        <v>8</v>
      </c>
      <c r="CY166" s="5">
        <v>4</v>
      </c>
      <c r="DA166" s="5">
        <v>1</v>
      </c>
      <c r="DB166" s="5">
        <v>1</v>
      </c>
      <c r="DD166" s="5">
        <v>365</v>
      </c>
      <c r="DF166" s="5">
        <v>2</v>
      </c>
      <c r="DH166" s="5">
        <v>365</v>
      </c>
      <c r="DJ166" s="5">
        <v>1</v>
      </c>
      <c r="DL166" s="5">
        <v>365</v>
      </c>
      <c r="DM166" s="5">
        <v>1</v>
      </c>
      <c r="DQ166" s="5">
        <v>1</v>
      </c>
      <c r="DT166" s="5">
        <v>3</v>
      </c>
      <c r="DU166" s="5">
        <v>1</v>
      </c>
      <c r="DX166" s="7">
        <v>800</v>
      </c>
      <c r="DY166" s="7">
        <v>800</v>
      </c>
      <c r="EC166" s="5" t="s">
        <v>111</v>
      </c>
      <c r="ED166" s="5" t="s">
        <v>111</v>
      </c>
      <c r="EE166" s="5">
        <v>0</v>
      </c>
      <c r="EF166" s="5">
        <v>0</v>
      </c>
      <c r="EG166" s="5" t="s">
        <v>111</v>
      </c>
      <c r="EH166" s="5" t="s">
        <v>111</v>
      </c>
      <c r="EI166" s="5" t="s">
        <v>111</v>
      </c>
      <c r="EJ166" s="5" t="s">
        <v>114</v>
      </c>
      <c r="EK166" s="5">
        <v>14</v>
      </c>
      <c r="EL166" s="5">
        <v>26</v>
      </c>
    </row>
    <row r="167" spans="1:142" x14ac:dyDescent="0.25">
      <c r="A167" s="5">
        <v>45</v>
      </c>
      <c r="B167" s="5" t="s">
        <v>443</v>
      </c>
      <c r="C167" s="5" t="s">
        <v>444</v>
      </c>
      <c r="D167" s="6"/>
      <c r="E167" s="6"/>
      <c r="F167" s="47"/>
      <c r="G167" s="5">
        <v>0</v>
      </c>
      <c r="H167" s="5">
        <v>24</v>
      </c>
      <c r="I167" s="5">
        <v>1</v>
      </c>
      <c r="J167" s="5">
        <v>0</v>
      </c>
      <c r="K167" s="1">
        <v>12</v>
      </c>
      <c r="L167" s="1">
        <f t="shared" si="22"/>
        <v>4</v>
      </c>
      <c r="M167" s="7" t="s">
        <v>140</v>
      </c>
      <c r="N167" s="7" t="s">
        <v>368</v>
      </c>
      <c r="O167" s="5" t="s">
        <v>340</v>
      </c>
      <c r="P167" s="7" t="s">
        <v>110</v>
      </c>
      <c r="Q167" s="7" t="s">
        <v>110</v>
      </c>
      <c r="R167" s="7">
        <v>3</v>
      </c>
      <c r="S167" s="7">
        <v>2</v>
      </c>
      <c r="T167" s="7">
        <v>0</v>
      </c>
      <c r="Z167" s="8"/>
      <c r="AA167" s="8"/>
      <c r="AB167" s="8"/>
      <c r="AC167" s="8"/>
      <c r="AD167" s="8">
        <v>1</v>
      </c>
      <c r="AE167" s="8"/>
      <c r="AO167" s="7">
        <v>1</v>
      </c>
      <c r="AP167" s="7">
        <f t="shared" si="32"/>
        <v>0.1</v>
      </c>
      <c r="AQ167" s="7">
        <f t="shared" si="23"/>
        <v>0</v>
      </c>
      <c r="AR167" s="7">
        <f t="shared" si="24"/>
        <v>0</v>
      </c>
      <c r="AS167" s="7">
        <f t="shared" si="25"/>
        <v>0</v>
      </c>
      <c r="AT167" s="7">
        <f t="shared" si="26"/>
        <v>0</v>
      </c>
      <c r="AU167" s="7">
        <f t="shared" si="27"/>
        <v>0</v>
      </c>
      <c r="AV167" s="7">
        <f t="shared" si="28"/>
        <v>30</v>
      </c>
      <c r="AW167" s="7">
        <f t="shared" si="29"/>
        <v>0</v>
      </c>
      <c r="AX167" s="7">
        <f t="shared" si="30"/>
        <v>0</v>
      </c>
      <c r="AY167" s="7">
        <v>0</v>
      </c>
      <c r="AZ167" s="7">
        <v>34</v>
      </c>
      <c r="BA167" s="5">
        <v>21</v>
      </c>
      <c r="BB167" s="7">
        <v>0</v>
      </c>
      <c r="BC167" s="7">
        <v>37</v>
      </c>
      <c r="BD167" s="7">
        <f t="shared" si="31"/>
        <v>37</v>
      </c>
      <c r="BE167" s="5">
        <v>0</v>
      </c>
      <c r="BF167" s="5">
        <v>0</v>
      </c>
      <c r="BG167" s="5">
        <v>2000</v>
      </c>
      <c r="BH167" s="7">
        <v>30000</v>
      </c>
      <c r="BI167" s="7">
        <v>1300</v>
      </c>
      <c r="BJ167" s="7">
        <v>26</v>
      </c>
      <c r="BM167" s="5">
        <v>1</v>
      </c>
      <c r="CU167" s="5">
        <v>2</v>
      </c>
      <c r="CV167" s="5">
        <v>2</v>
      </c>
      <c r="CW167" s="5">
        <v>0</v>
      </c>
      <c r="CX167" s="7">
        <v>8</v>
      </c>
      <c r="CY167" s="5">
        <v>4</v>
      </c>
      <c r="DA167" s="5">
        <v>1</v>
      </c>
      <c r="DD167" s="5">
        <v>365</v>
      </c>
      <c r="DF167" s="5">
        <v>1</v>
      </c>
      <c r="DH167" s="5">
        <v>365</v>
      </c>
      <c r="DJ167" s="5">
        <v>1</v>
      </c>
      <c r="DL167" s="5">
        <v>365</v>
      </c>
      <c r="DM167" s="5">
        <v>1</v>
      </c>
      <c r="DQ167" s="5">
        <v>1</v>
      </c>
      <c r="DT167" s="5">
        <v>3</v>
      </c>
      <c r="DU167" s="5">
        <v>2</v>
      </c>
      <c r="DX167" s="7">
        <v>650</v>
      </c>
      <c r="DY167" s="7">
        <v>700</v>
      </c>
      <c r="EC167" s="5" t="s">
        <v>111</v>
      </c>
      <c r="ED167" s="5" t="s">
        <v>111</v>
      </c>
      <c r="EE167" s="5">
        <v>0</v>
      </c>
      <c r="EF167" s="5">
        <v>0</v>
      </c>
      <c r="EG167" s="5" t="s">
        <v>111</v>
      </c>
      <c r="EH167" s="5" t="s">
        <v>111</v>
      </c>
      <c r="EI167" s="5" t="s">
        <v>111</v>
      </c>
      <c r="EJ167" s="5" t="s">
        <v>114</v>
      </c>
      <c r="EK167" s="5">
        <v>14</v>
      </c>
      <c r="EL167" s="5">
        <v>27</v>
      </c>
    </row>
    <row r="168" spans="1:142" x14ac:dyDescent="0.25">
      <c r="A168" s="5">
        <v>46</v>
      </c>
      <c r="B168" s="5" t="s">
        <v>445</v>
      </c>
      <c r="C168" s="5" t="s">
        <v>446</v>
      </c>
      <c r="D168" s="6"/>
      <c r="E168" s="6"/>
      <c r="F168" s="47"/>
      <c r="G168" s="5">
        <v>0</v>
      </c>
      <c r="H168" s="5">
        <v>34</v>
      </c>
      <c r="I168" s="5">
        <v>3</v>
      </c>
      <c r="J168" s="5">
        <v>0</v>
      </c>
      <c r="K168" s="1">
        <v>12</v>
      </c>
      <c r="L168" s="1">
        <f t="shared" si="22"/>
        <v>4</v>
      </c>
      <c r="M168" s="7" t="s">
        <v>107</v>
      </c>
      <c r="N168" s="7" t="s">
        <v>368</v>
      </c>
      <c r="O168" s="5" t="s">
        <v>340</v>
      </c>
      <c r="P168" s="7" t="s">
        <v>110</v>
      </c>
      <c r="Q168" s="7" t="s">
        <v>110</v>
      </c>
      <c r="R168" s="7">
        <v>3</v>
      </c>
      <c r="S168" s="7">
        <v>5</v>
      </c>
      <c r="T168" s="7">
        <v>0</v>
      </c>
      <c r="Z168" s="8"/>
      <c r="AA168" s="8">
        <v>1</v>
      </c>
      <c r="AB168" s="8">
        <v>1</v>
      </c>
      <c r="AC168" s="8">
        <v>1</v>
      </c>
      <c r="AD168" s="8"/>
      <c r="AE168" s="8"/>
      <c r="AL168" s="5">
        <v>2</v>
      </c>
      <c r="AM168" s="5">
        <v>3</v>
      </c>
      <c r="AO168" s="7">
        <v>3</v>
      </c>
      <c r="AP168" s="7">
        <f t="shared" si="32"/>
        <v>0.09</v>
      </c>
      <c r="AQ168" s="7">
        <f t="shared" si="23"/>
        <v>33.333333333333329</v>
      </c>
      <c r="AR168" s="7">
        <f t="shared" si="24"/>
        <v>0</v>
      </c>
      <c r="AS168" s="7">
        <f t="shared" si="25"/>
        <v>0.33333333333333331</v>
      </c>
      <c r="AT168" s="7">
        <f t="shared" si="26"/>
        <v>33.333333333333329</v>
      </c>
      <c r="AU168" s="7">
        <f t="shared" si="27"/>
        <v>33.333333333333329</v>
      </c>
      <c r="AV168" s="7">
        <f t="shared" si="28"/>
        <v>0</v>
      </c>
      <c r="AW168" s="7">
        <f t="shared" si="29"/>
        <v>0</v>
      </c>
      <c r="AX168" s="7">
        <f t="shared" si="30"/>
        <v>66.666666666666657</v>
      </c>
      <c r="AY168" s="7">
        <v>0</v>
      </c>
      <c r="AZ168" s="7">
        <v>7</v>
      </c>
      <c r="BA168" s="5">
        <v>42</v>
      </c>
      <c r="BB168" s="7">
        <v>0</v>
      </c>
      <c r="BC168" s="7">
        <v>31</v>
      </c>
      <c r="BD168" s="7">
        <f t="shared" si="31"/>
        <v>10.333333333333334</v>
      </c>
      <c r="BE168" s="5">
        <v>0</v>
      </c>
      <c r="BF168" s="5">
        <v>0</v>
      </c>
      <c r="BG168" s="5">
        <v>1800</v>
      </c>
      <c r="BH168" s="7">
        <v>30000</v>
      </c>
      <c r="BI168" s="7">
        <v>1100</v>
      </c>
      <c r="BJ168" s="7">
        <v>22</v>
      </c>
      <c r="BX168" s="5">
        <v>1</v>
      </c>
      <c r="BZ168" s="5">
        <v>1</v>
      </c>
      <c r="CA168" s="5">
        <v>1</v>
      </c>
      <c r="CU168" s="5">
        <v>6</v>
      </c>
      <c r="CV168" s="5">
        <v>2</v>
      </c>
      <c r="CW168" s="5">
        <v>0</v>
      </c>
      <c r="CX168" s="7">
        <v>8</v>
      </c>
      <c r="CY168" s="5">
        <v>4</v>
      </c>
      <c r="DA168" s="5">
        <v>1</v>
      </c>
      <c r="DD168" s="5">
        <v>365</v>
      </c>
      <c r="DF168" s="5">
        <v>3</v>
      </c>
      <c r="DH168" s="5">
        <v>365</v>
      </c>
      <c r="DJ168" s="5">
        <v>1</v>
      </c>
      <c r="DL168" s="5">
        <v>365</v>
      </c>
      <c r="DM168" s="5">
        <v>1</v>
      </c>
      <c r="DQ168" s="5">
        <v>1</v>
      </c>
      <c r="DT168" s="5">
        <v>3</v>
      </c>
      <c r="DU168" s="5">
        <v>3</v>
      </c>
      <c r="DV168" s="7">
        <v>237000</v>
      </c>
      <c r="DX168" s="7">
        <v>950</v>
      </c>
      <c r="DY168" s="7">
        <v>1000</v>
      </c>
      <c r="EC168" s="5" t="s">
        <v>111</v>
      </c>
      <c r="ED168" s="5" t="s">
        <v>111</v>
      </c>
      <c r="EE168" s="5">
        <v>0</v>
      </c>
      <c r="EF168" s="5">
        <v>0</v>
      </c>
      <c r="EG168" s="5" t="s">
        <v>111</v>
      </c>
      <c r="EH168" s="5" t="s">
        <v>111</v>
      </c>
      <c r="EI168" s="5" t="s">
        <v>111</v>
      </c>
      <c r="EJ168" s="5" t="s">
        <v>114</v>
      </c>
      <c r="EK168" s="5">
        <v>13</v>
      </c>
      <c r="EL168" s="5">
        <v>27</v>
      </c>
    </row>
    <row r="169" spans="1:142" x14ac:dyDescent="0.25">
      <c r="A169" s="5">
        <v>47</v>
      </c>
      <c r="B169" s="5" t="s">
        <v>447</v>
      </c>
      <c r="C169" s="5" t="s">
        <v>448</v>
      </c>
      <c r="D169" s="6"/>
      <c r="E169" s="6"/>
      <c r="F169" s="47"/>
      <c r="G169" s="5">
        <v>0</v>
      </c>
      <c r="H169" s="5">
        <v>41</v>
      </c>
      <c r="I169" s="5">
        <v>9</v>
      </c>
      <c r="J169" s="5">
        <v>6</v>
      </c>
      <c r="K169" s="1">
        <v>0</v>
      </c>
      <c r="L169" s="1">
        <f t="shared" si="22"/>
        <v>0</v>
      </c>
      <c r="M169" s="7" t="s">
        <v>140</v>
      </c>
      <c r="N169" s="7" t="s">
        <v>420</v>
      </c>
      <c r="O169" s="5" t="s">
        <v>120</v>
      </c>
      <c r="P169" s="7" t="s">
        <v>110</v>
      </c>
      <c r="Q169" s="7" t="s">
        <v>110</v>
      </c>
      <c r="R169" s="7">
        <v>1</v>
      </c>
      <c r="S169" s="7">
        <v>4</v>
      </c>
      <c r="T169" s="7">
        <v>0.25287999999999999</v>
      </c>
      <c r="Z169" s="8"/>
      <c r="AA169" s="8"/>
      <c r="AB169" s="8">
        <v>1</v>
      </c>
      <c r="AC169" s="8"/>
      <c r="AD169" s="8">
        <v>1</v>
      </c>
      <c r="AE169" s="8"/>
      <c r="AO169" s="7">
        <v>2</v>
      </c>
      <c r="AP169" s="7">
        <f t="shared" si="32"/>
        <v>0.13</v>
      </c>
      <c r="AQ169" s="7">
        <f t="shared" si="23"/>
        <v>0</v>
      </c>
      <c r="AR169" s="7">
        <f t="shared" si="24"/>
        <v>0</v>
      </c>
      <c r="AS169" s="7">
        <f t="shared" si="25"/>
        <v>0</v>
      </c>
      <c r="AT169" s="7">
        <f t="shared" si="26"/>
        <v>23.076923076923077</v>
      </c>
      <c r="AU169" s="7">
        <f t="shared" si="27"/>
        <v>0</v>
      </c>
      <c r="AV169" s="7">
        <f t="shared" si="28"/>
        <v>23.076923076923077</v>
      </c>
      <c r="AW169" s="7">
        <f t="shared" si="29"/>
        <v>0</v>
      </c>
      <c r="AX169" s="7">
        <f t="shared" si="30"/>
        <v>0</v>
      </c>
      <c r="AY169" s="7">
        <v>0</v>
      </c>
      <c r="AZ169" s="7">
        <v>21</v>
      </c>
      <c r="BA169" s="5">
        <v>75</v>
      </c>
      <c r="BB169" s="7">
        <v>0</v>
      </c>
      <c r="BC169" s="7">
        <v>50</v>
      </c>
      <c r="BD169" s="7">
        <f t="shared" si="31"/>
        <v>25</v>
      </c>
      <c r="BE169" s="5">
        <v>0</v>
      </c>
      <c r="BF169" s="5">
        <v>0</v>
      </c>
      <c r="BG169" s="5">
        <v>2700</v>
      </c>
      <c r="BH169" s="7">
        <v>15000</v>
      </c>
      <c r="BI169" s="7">
        <v>1700</v>
      </c>
      <c r="BJ169" s="7">
        <v>34</v>
      </c>
      <c r="BK169" s="5">
        <v>1</v>
      </c>
      <c r="BM169" s="5">
        <v>1</v>
      </c>
      <c r="CU169" s="5">
        <v>6</v>
      </c>
      <c r="CV169" s="5">
        <v>2</v>
      </c>
      <c r="CW169" s="5">
        <v>0</v>
      </c>
      <c r="CX169" s="7">
        <v>8</v>
      </c>
      <c r="CY169" s="5">
        <v>2</v>
      </c>
      <c r="DA169" s="5">
        <v>1</v>
      </c>
      <c r="DD169" s="5">
        <v>365</v>
      </c>
      <c r="DF169" s="5">
        <v>1</v>
      </c>
      <c r="DH169" s="5">
        <v>365</v>
      </c>
      <c r="DJ169" s="5">
        <v>1</v>
      </c>
      <c r="DL169" s="5">
        <v>365</v>
      </c>
      <c r="DM169" s="5">
        <v>1</v>
      </c>
      <c r="DQ169" s="5">
        <v>1</v>
      </c>
      <c r="DT169" s="5">
        <v>3</v>
      </c>
      <c r="DU169" s="5">
        <v>1</v>
      </c>
      <c r="DX169" s="7">
        <v>800</v>
      </c>
      <c r="DY169" s="7">
        <v>700</v>
      </c>
      <c r="EC169" s="5" t="s">
        <v>111</v>
      </c>
      <c r="ED169" s="5" t="s">
        <v>111</v>
      </c>
      <c r="EE169" s="5">
        <v>0</v>
      </c>
      <c r="EF169" s="5">
        <v>0</v>
      </c>
      <c r="EG169" s="5" t="s">
        <v>111</v>
      </c>
      <c r="EH169" s="5" t="s">
        <v>111</v>
      </c>
      <c r="EI169" s="5" t="s">
        <v>111</v>
      </c>
      <c r="EJ169" s="5" t="s">
        <v>114</v>
      </c>
      <c r="EK169" s="5">
        <v>14</v>
      </c>
      <c r="EL169" s="5">
        <v>26</v>
      </c>
    </row>
    <row r="170" spans="1:142" x14ac:dyDescent="0.25">
      <c r="A170" s="5">
        <v>48</v>
      </c>
      <c r="B170" s="5" t="s">
        <v>449</v>
      </c>
      <c r="C170" s="5" t="s">
        <v>450</v>
      </c>
      <c r="D170" s="6"/>
      <c r="E170" s="6"/>
      <c r="F170" s="47"/>
      <c r="G170" s="5">
        <v>0</v>
      </c>
      <c r="H170" s="5">
        <v>44</v>
      </c>
      <c r="I170" s="5">
        <v>10</v>
      </c>
      <c r="J170" s="5">
        <v>5</v>
      </c>
      <c r="K170" s="1">
        <v>0</v>
      </c>
      <c r="L170" s="1">
        <f t="shared" si="22"/>
        <v>0</v>
      </c>
      <c r="M170" s="7" t="s">
        <v>107</v>
      </c>
      <c r="N170" s="7" t="s">
        <v>420</v>
      </c>
      <c r="O170" s="5" t="s">
        <v>120</v>
      </c>
      <c r="P170" s="7" t="s">
        <v>110</v>
      </c>
      <c r="Q170" s="7" t="s">
        <v>110</v>
      </c>
      <c r="R170" s="7">
        <v>1</v>
      </c>
      <c r="S170" s="7">
        <v>5</v>
      </c>
      <c r="T170" s="7">
        <v>0</v>
      </c>
      <c r="W170" s="5">
        <v>1</v>
      </c>
      <c r="Z170" s="8"/>
      <c r="AA170" s="8">
        <v>1</v>
      </c>
      <c r="AB170" s="8">
        <v>1</v>
      </c>
      <c r="AC170" s="8"/>
      <c r="AD170" s="8"/>
      <c r="AE170" s="8">
        <v>2</v>
      </c>
      <c r="AO170" s="7">
        <v>4</v>
      </c>
      <c r="AP170" s="7">
        <f t="shared" si="32"/>
        <v>0.26</v>
      </c>
      <c r="AQ170" s="7">
        <f t="shared" si="23"/>
        <v>11.538461538461538</v>
      </c>
      <c r="AR170" s="7">
        <f t="shared" si="24"/>
        <v>0</v>
      </c>
      <c r="AS170" s="7">
        <f t="shared" si="25"/>
        <v>0.25</v>
      </c>
      <c r="AT170" s="7">
        <f t="shared" si="26"/>
        <v>11.538461538461538</v>
      </c>
      <c r="AU170" s="7">
        <f t="shared" si="27"/>
        <v>0</v>
      </c>
      <c r="AV170" s="7">
        <f t="shared" si="28"/>
        <v>0</v>
      </c>
      <c r="AW170" s="7">
        <f t="shared" si="29"/>
        <v>23.076923076923077</v>
      </c>
      <c r="AX170" s="7">
        <f t="shared" si="30"/>
        <v>34.615384615384613</v>
      </c>
      <c r="AY170" s="7">
        <v>0</v>
      </c>
      <c r="AZ170" s="7">
        <v>18.75</v>
      </c>
      <c r="BA170" s="5">
        <v>14</v>
      </c>
      <c r="BB170" s="7">
        <v>0.25</v>
      </c>
      <c r="BC170" s="7">
        <v>89</v>
      </c>
      <c r="BD170" s="7">
        <f t="shared" si="31"/>
        <v>22.25</v>
      </c>
      <c r="BE170" s="5">
        <v>2</v>
      </c>
      <c r="BF170" s="5">
        <v>550</v>
      </c>
      <c r="BG170" s="5">
        <v>4800</v>
      </c>
      <c r="BH170" s="7">
        <v>30000</v>
      </c>
      <c r="BI170" s="7">
        <v>3000</v>
      </c>
      <c r="BJ170" s="7">
        <v>60</v>
      </c>
      <c r="BP170" s="5">
        <v>2</v>
      </c>
      <c r="BR170" s="5">
        <v>2</v>
      </c>
      <c r="BT170" s="5">
        <v>1</v>
      </c>
      <c r="CU170" s="5">
        <v>6</v>
      </c>
      <c r="CV170" s="5">
        <v>2</v>
      </c>
      <c r="CW170" s="5">
        <v>0</v>
      </c>
      <c r="CX170" s="7">
        <v>8</v>
      </c>
      <c r="CY170" s="5">
        <v>4</v>
      </c>
      <c r="DA170" s="5">
        <v>1</v>
      </c>
      <c r="DC170" s="5">
        <v>2</v>
      </c>
      <c r="DD170" s="5">
        <v>365</v>
      </c>
      <c r="DF170" s="5">
        <v>3</v>
      </c>
      <c r="DH170" s="5">
        <v>365</v>
      </c>
      <c r="DJ170" s="5">
        <v>1</v>
      </c>
      <c r="DK170" s="5">
        <v>1</v>
      </c>
      <c r="DL170" s="5">
        <v>365</v>
      </c>
      <c r="DM170" s="5">
        <v>1</v>
      </c>
      <c r="DO170" s="5">
        <v>2</v>
      </c>
      <c r="DQ170" s="5">
        <v>1</v>
      </c>
      <c r="DS170" s="5">
        <v>1</v>
      </c>
      <c r="DT170" s="5">
        <v>3</v>
      </c>
      <c r="DU170" s="5">
        <v>1</v>
      </c>
      <c r="DX170" s="7">
        <v>1100</v>
      </c>
      <c r="DY170" s="7">
        <v>1000</v>
      </c>
      <c r="EC170" s="5" t="s">
        <v>111</v>
      </c>
      <c r="ED170" s="5" t="s">
        <v>111</v>
      </c>
      <c r="EE170" s="5">
        <v>0</v>
      </c>
      <c r="EF170" s="5">
        <v>0</v>
      </c>
      <c r="EG170" s="5" t="s">
        <v>111</v>
      </c>
      <c r="EH170" s="5" t="s">
        <v>111</v>
      </c>
      <c r="EI170" s="5" t="s">
        <v>111</v>
      </c>
      <c r="EJ170" s="5" t="s">
        <v>114</v>
      </c>
      <c r="EK170" s="5">
        <v>13</v>
      </c>
      <c r="EL170" s="5">
        <v>27</v>
      </c>
    </row>
    <row r="171" spans="1:142" x14ac:dyDescent="0.25">
      <c r="A171" s="5">
        <v>49</v>
      </c>
      <c r="B171" s="5" t="s">
        <v>451</v>
      </c>
      <c r="C171" s="5" t="s">
        <v>452</v>
      </c>
      <c r="D171" s="6"/>
      <c r="E171" s="6"/>
      <c r="F171" s="47"/>
      <c r="G171" s="5">
        <v>0</v>
      </c>
      <c r="H171" s="5">
        <v>40</v>
      </c>
      <c r="I171" s="5">
        <v>8</v>
      </c>
      <c r="J171" s="5">
        <v>4</v>
      </c>
      <c r="K171" s="1">
        <v>12</v>
      </c>
      <c r="L171" s="1">
        <f t="shared" si="22"/>
        <v>4</v>
      </c>
      <c r="M171" s="7" t="s">
        <v>140</v>
      </c>
      <c r="N171" s="7" t="s">
        <v>120</v>
      </c>
      <c r="O171" s="5" t="s">
        <v>340</v>
      </c>
      <c r="P171" s="7" t="s">
        <v>110</v>
      </c>
      <c r="Q171" s="7" t="s">
        <v>110</v>
      </c>
      <c r="R171" s="7">
        <v>3</v>
      </c>
      <c r="S171" s="7">
        <v>4</v>
      </c>
      <c r="T171" s="7">
        <v>0</v>
      </c>
      <c r="Z171" s="8"/>
      <c r="AA171" s="8">
        <v>1</v>
      </c>
      <c r="AB171" s="8"/>
      <c r="AC171" s="8">
        <v>1</v>
      </c>
      <c r="AD171" s="8"/>
      <c r="AE171" s="8"/>
      <c r="AO171" s="7">
        <v>2</v>
      </c>
      <c r="AP171" s="7">
        <f t="shared" si="32"/>
        <v>0.06</v>
      </c>
      <c r="AQ171" s="7">
        <f t="shared" si="23"/>
        <v>50</v>
      </c>
      <c r="AR171" s="7">
        <f t="shared" si="24"/>
        <v>0</v>
      </c>
      <c r="AS171" s="7">
        <f t="shared" si="25"/>
        <v>0.5</v>
      </c>
      <c r="AT171" s="7">
        <f t="shared" si="26"/>
        <v>0</v>
      </c>
      <c r="AU171" s="7">
        <f t="shared" si="27"/>
        <v>50</v>
      </c>
      <c r="AV171" s="7">
        <f t="shared" si="28"/>
        <v>0</v>
      </c>
      <c r="AW171" s="7">
        <f t="shared" si="29"/>
        <v>0</v>
      </c>
      <c r="AX171" s="7">
        <f t="shared" si="30"/>
        <v>100</v>
      </c>
      <c r="AY171" s="7">
        <v>0</v>
      </c>
      <c r="AZ171" s="7">
        <v>7</v>
      </c>
      <c r="BA171" s="5">
        <v>36</v>
      </c>
      <c r="BB171" s="7">
        <v>0</v>
      </c>
      <c r="BC171" s="7">
        <v>22</v>
      </c>
      <c r="BD171" s="7">
        <f t="shared" si="31"/>
        <v>11</v>
      </c>
      <c r="BE171" s="5">
        <v>0</v>
      </c>
      <c r="BF171" s="5">
        <v>0</v>
      </c>
      <c r="BG171" s="5">
        <v>1300</v>
      </c>
      <c r="BH171" s="7">
        <v>30000</v>
      </c>
      <c r="BI171" s="7">
        <v>800</v>
      </c>
      <c r="BJ171" s="7">
        <v>16</v>
      </c>
      <c r="BZ171" s="5">
        <v>1</v>
      </c>
      <c r="CA171" s="5">
        <v>1</v>
      </c>
      <c r="CU171" s="5">
        <v>2</v>
      </c>
      <c r="CV171" s="5">
        <v>2</v>
      </c>
      <c r="CW171" s="5">
        <v>0</v>
      </c>
      <c r="CX171" s="7">
        <v>8</v>
      </c>
      <c r="CY171" s="5">
        <v>4</v>
      </c>
      <c r="DA171" s="5">
        <v>1</v>
      </c>
      <c r="DD171" s="5">
        <v>365</v>
      </c>
      <c r="DF171" s="5">
        <v>1</v>
      </c>
      <c r="DH171" s="5">
        <v>365</v>
      </c>
      <c r="DJ171" s="5">
        <v>1</v>
      </c>
      <c r="DL171" s="5">
        <v>365</v>
      </c>
      <c r="DM171" s="5">
        <v>1</v>
      </c>
      <c r="DQ171" s="5">
        <v>1</v>
      </c>
      <c r="DT171" s="5">
        <v>3</v>
      </c>
      <c r="DU171" s="5">
        <v>1</v>
      </c>
      <c r="DX171" s="7">
        <v>800</v>
      </c>
      <c r="DY171" s="7">
        <v>900</v>
      </c>
      <c r="EC171" s="5" t="s">
        <v>111</v>
      </c>
      <c r="ED171" s="5" t="s">
        <v>111</v>
      </c>
      <c r="EE171" s="5">
        <v>0</v>
      </c>
      <c r="EF171" s="5">
        <v>0</v>
      </c>
      <c r="EG171" s="5" t="s">
        <v>111</v>
      </c>
      <c r="EH171" s="5" t="s">
        <v>111</v>
      </c>
      <c r="EI171" s="5" t="s">
        <v>111</v>
      </c>
      <c r="EJ171" s="5" t="s">
        <v>114</v>
      </c>
      <c r="EK171" s="5">
        <v>13</v>
      </c>
      <c r="EL171" s="5">
        <v>27</v>
      </c>
    </row>
    <row r="172" spans="1:142" x14ac:dyDescent="0.25">
      <c r="A172" s="5">
        <v>50</v>
      </c>
      <c r="B172" s="5" t="s">
        <v>453</v>
      </c>
      <c r="C172" s="5" t="s">
        <v>454</v>
      </c>
      <c r="D172" s="6"/>
      <c r="E172" s="6"/>
      <c r="F172" s="47"/>
      <c r="G172" s="5">
        <v>0</v>
      </c>
      <c r="H172" s="5">
        <v>27</v>
      </c>
      <c r="I172" s="5">
        <v>3</v>
      </c>
      <c r="J172" s="5">
        <v>0</v>
      </c>
      <c r="K172" s="1">
        <v>10</v>
      </c>
      <c r="L172" s="1">
        <f t="shared" si="22"/>
        <v>3</v>
      </c>
      <c r="M172" s="7" t="s">
        <v>107</v>
      </c>
      <c r="N172" s="7" t="s">
        <v>455</v>
      </c>
      <c r="O172" s="5" t="s">
        <v>120</v>
      </c>
      <c r="P172" s="7" t="s">
        <v>110</v>
      </c>
      <c r="Q172" s="7" t="s">
        <v>110</v>
      </c>
      <c r="R172" s="7">
        <v>1</v>
      </c>
      <c r="S172" s="7">
        <v>6</v>
      </c>
      <c r="T172" s="7">
        <v>1.2564</v>
      </c>
      <c r="Z172" s="8"/>
      <c r="AA172" s="8"/>
      <c r="AB172" s="8"/>
      <c r="AC172" s="8">
        <v>1</v>
      </c>
      <c r="AD172" s="8">
        <v>1</v>
      </c>
      <c r="AE172" s="8"/>
      <c r="AO172" s="7">
        <v>2</v>
      </c>
      <c r="AP172" s="7">
        <f t="shared" si="32"/>
        <v>0.13</v>
      </c>
      <c r="AQ172" s="7">
        <f t="shared" si="23"/>
        <v>0</v>
      </c>
      <c r="AR172" s="7">
        <f t="shared" si="24"/>
        <v>0</v>
      </c>
      <c r="AS172" s="7">
        <f t="shared" si="25"/>
        <v>0</v>
      </c>
      <c r="AT172" s="7">
        <f t="shared" si="26"/>
        <v>0</v>
      </c>
      <c r="AU172" s="7">
        <f t="shared" si="27"/>
        <v>23.076923076923077</v>
      </c>
      <c r="AV172" s="7">
        <f t="shared" si="28"/>
        <v>23.076923076923077</v>
      </c>
      <c r="AW172" s="7">
        <f t="shared" si="29"/>
        <v>0</v>
      </c>
      <c r="AX172" s="7">
        <f t="shared" si="30"/>
        <v>23.076923076923077</v>
      </c>
      <c r="AY172" s="7">
        <v>0</v>
      </c>
      <c r="AZ172" s="7">
        <v>18</v>
      </c>
      <c r="BA172" s="5">
        <v>14</v>
      </c>
      <c r="BB172" s="7">
        <v>0</v>
      </c>
      <c r="BC172" s="7">
        <v>44</v>
      </c>
      <c r="BD172" s="7">
        <f t="shared" si="31"/>
        <v>22</v>
      </c>
      <c r="BE172" s="5">
        <v>0</v>
      </c>
      <c r="BF172" s="5">
        <v>0</v>
      </c>
      <c r="BG172" s="5">
        <v>2400</v>
      </c>
      <c r="BH172" s="7">
        <v>15000</v>
      </c>
      <c r="BI172" s="7">
        <v>1500</v>
      </c>
      <c r="BJ172" s="7">
        <v>30</v>
      </c>
      <c r="BM172" s="5">
        <v>1</v>
      </c>
      <c r="CA172" s="5">
        <v>1</v>
      </c>
      <c r="CU172" s="5">
        <v>2</v>
      </c>
      <c r="CV172" s="5">
        <v>2</v>
      </c>
      <c r="CW172" s="5">
        <v>0</v>
      </c>
      <c r="CX172" s="7">
        <v>8</v>
      </c>
      <c r="CY172" s="5">
        <v>2</v>
      </c>
      <c r="DA172" s="5">
        <v>1</v>
      </c>
      <c r="DC172" s="5">
        <v>1</v>
      </c>
      <c r="DD172" s="5">
        <v>365</v>
      </c>
      <c r="DF172" s="5">
        <v>1</v>
      </c>
      <c r="DG172" s="5">
        <v>1</v>
      </c>
      <c r="DH172" s="5">
        <v>365</v>
      </c>
      <c r="DJ172" s="5">
        <v>1</v>
      </c>
      <c r="DK172" s="5">
        <v>1</v>
      </c>
      <c r="DL172" s="5">
        <v>365</v>
      </c>
      <c r="DM172" s="5">
        <v>1</v>
      </c>
      <c r="DO172" s="5">
        <v>1</v>
      </c>
      <c r="DQ172" s="5">
        <v>1</v>
      </c>
      <c r="DS172" s="5">
        <v>1</v>
      </c>
      <c r="DT172" s="5">
        <v>3</v>
      </c>
      <c r="DU172" s="5">
        <v>1</v>
      </c>
      <c r="DX172" s="7">
        <v>800</v>
      </c>
      <c r="DY172" s="7">
        <v>1000</v>
      </c>
      <c r="EC172" s="5" t="s">
        <v>111</v>
      </c>
      <c r="ED172" s="5" t="s">
        <v>111</v>
      </c>
      <c r="EE172" s="5">
        <v>0</v>
      </c>
      <c r="EF172" s="5">
        <v>0</v>
      </c>
      <c r="EG172" s="5" t="s">
        <v>111</v>
      </c>
      <c r="EH172" s="5" t="s">
        <v>111</v>
      </c>
      <c r="EI172" s="5" t="s">
        <v>111</v>
      </c>
      <c r="EJ172" s="5" t="s">
        <v>114</v>
      </c>
      <c r="EK172" s="5">
        <v>14</v>
      </c>
      <c r="EL172" s="5">
        <v>27</v>
      </c>
    </row>
    <row r="173" spans="1:142" x14ac:dyDescent="0.25">
      <c r="A173" s="5">
        <v>51</v>
      </c>
      <c r="B173" s="5" t="s">
        <v>456</v>
      </c>
      <c r="C173" s="5" t="s">
        <v>457</v>
      </c>
      <c r="D173" s="6"/>
      <c r="E173" s="6"/>
      <c r="F173" s="47"/>
      <c r="G173" s="5">
        <v>0</v>
      </c>
      <c r="H173" s="5">
        <v>33</v>
      </c>
      <c r="I173" s="5">
        <v>4</v>
      </c>
      <c r="J173" s="5">
        <v>1</v>
      </c>
      <c r="K173" s="1">
        <v>12</v>
      </c>
      <c r="L173" s="1">
        <f t="shared" si="22"/>
        <v>4</v>
      </c>
      <c r="M173" s="7" t="s">
        <v>140</v>
      </c>
      <c r="N173" s="7" t="s">
        <v>458</v>
      </c>
      <c r="O173" s="5" t="s">
        <v>340</v>
      </c>
      <c r="P173" s="7" t="s">
        <v>110</v>
      </c>
      <c r="Q173" s="7" t="s">
        <v>110</v>
      </c>
      <c r="R173" s="7">
        <v>3</v>
      </c>
      <c r="S173" s="7">
        <v>2</v>
      </c>
      <c r="T173" s="7">
        <v>0</v>
      </c>
      <c r="Z173" s="8"/>
      <c r="AA173" s="8"/>
      <c r="AB173" s="8">
        <v>1</v>
      </c>
      <c r="AC173" s="8">
        <v>1</v>
      </c>
      <c r="AD173" s="8"/>
      <c r="AE173" s="8"/>
      <c r="AO173" s="7">
        <v>2</v>
      </c>
      <c r="AP173" s="7">
        <f t="shared" si="32"/>
        <v>0.06</v>
      </c>
      <c r="AQ173" s="7">
        <f t="shared" si="23"/>
        <v>0</v>
      </c>
      <c r="AR173" s="7">
        <f t="shared" si="24"/>
        <v>0</v>
      </c>
      <c r="AS173" s="7">
        <f t="shared" si="25"/>
        <v>0</v>
      </c>
      <c r="AT173" s="7">
        <f t="shared" si="26"/>
        <v>50</v>
      </c>
      <c r="AU173" s="7">
        <f t="shared" si="27"/>
        <v>50</v>
      </c>
      <c r="AV173" s="7">
        <f t="shared" si="28"/>
        <v>0</v>
      </c>
      <c r="AW173" s="7">
        <f t="shared" si="29"/>
        <v>0</v>
      </c>
      <c r="AX173" s="7">
        <f t="shared" si="30"/>
        <v>50</v>
      </c>
      <c r="AY173" s="7">
        <v>0</v>
      </c>
      <c r="AZ173" s="7">
        <v>7</v>
      </c>
      <c r="BA173" s="5">
        <v>5</v>
      </c>
      <c r="BB173" s="7">
        <v>0</v>
      </c>
      <c r="BC173" s="7">
        <v>20</v>
      </c>
      <c r="BD173" s="7">
        <f t="shared" si="31"/>
        <v>10</v>
      </c>
      <c r="BE173" s="5">
        <v>0</v>
      </c>
      <c r="BF173" s="5">
        <v>0</v>
      </c>
      <c r="BG173" s="5">
        <v>1200</v>
      </c>
      <c r="BH173" s="7">
        <v>15000</v>
      </c>
      <c r="BI173" s="7">
        <v>800</v>
      </c>
      <c r="BJ173" s="7">
        <v>16</v>
      </c>
      <c r="BX173" s="5">
        <v>1</v>
      </c>
      <c r="CA173" s="5">
        <v>1</v>
      </c>
      <c r="CU173" s="5">
        <v>2</v>
      </c>
      <c r="CV173" s="5">
        <v>2</v>
      </c>
      <c r="CW173" s="5">
        <v>0</v>
      </c>
      <c r="CX173" s="7">
        <v>8</v>
      </c>
      <c r="CY173" s="5">
        <v>2</v>
      </c>
      <c r="DA173" s="5">
        <v>1</v>
      </c>
      <c r="DD173" s="5">
        <v>365</v>
      </c>
      <c r="DF173" s="5">
        <v>1</v>
      </c>
      <c r="DH173" s="5">
        <v>365</v>
      </c>
      <c r="DJ173" s="5">
        <v>1</v>
      </c>
      <c r="DL173" s="5">
        <v>365</v>
      </c>
      <c r="DM173" s="5">
        <v>1</v>
      </c>
      <c r="DQ173" s="5">
        <v>1</v>
      </c>
      <c r="DT173" s="5">
        <v>3</v>
      </c>
      <c r="DU173" s="5">
        <v>2</v>
      </c>
      <c r="DX173" s="7">
        <v>800</v>
      </c>
      <c r="DY173" s="7">
        <v>800</v>
      </c>
      <c r="EC173" s="5" t="s">
        <v>111</v>
      </c>
      <c r="ED173" s="5" t="s">
        <v>111</v>
      </c>
      <c r="EE173" s="5">
        <v>0</v>
      </c>
      <c r="EF173" s="5">
        <v>0</v>
      </c>
      <c r="EG173" s="5" t="s">
        <v>111</v>
      </c>
      <c r="EH173" s="5" t="s">
        <v>111</v>
      </c>
      <c r="EI173" s="5" t="s">
        <v>111</v>
      </c>
      <c r="EJ173" s="5" t="s">
        <v>114</v>
      </c>
      <c r="EK173" s="5">
        <v>14</v>
      </c>
      <c r="EL173" s="5">
        <v>27</v>
      </c>
    </row>
    <row r="174" spans="1:142" x14ac:dyDescent="0.25">
      <c r="A174" s="5">
        <v>52</v>
      </c>
      <c r="B174" s="5" t="s">
        <v>459</v>
      </c>
      <c r="C174" s="5" t="s">
        <v>460</v>
      </c>
      <c r="D174" s="6"/>
      <c r="E174" s="6"/>
      <c r="F174" s="47"/>
      <c r="G174" s="5">
        <v>0</v>
      </c>
      <c r="H174" s="5">
        <v>25</v>
      </c>
      <c r="I174" s="5">
        <v>1</v>
      </c>
      <c r="J174" s="5">
        <v>0</v>
      </c>
      <c r="K174" s="1">
        <v>12</v>
      </c>
      <c r="L174" s="1">
        <f t="shared" si="22"/>
        <v>4</v>
      </c>
      <c r="M174" s="7" t="s">
        <v>107</v>
      </c>
      <c r="N174" s="7" t="s">
        <v>455</v>
      </c>
      <c r="O174" s="5" t="s">
        <v>120</v>
      </c>
      <c r="P174" s="7" t="s">
        <v>110</v>
      </c>
      <c r="Q174" s="7" t="s">
        <v>110</v>
      </c>
      <c r="R174" s="7">
        <v>2</v>
      </c>
      <c r="S174" s="7">
        <v>3</v>
      </c>
      <c r="T174" s="7">
        <v>0</v>
      </c>
      <c r="Z174" s="8"/>
      <c r="AA174" s="8">
        <v>1</v>
      </c>
      <c r="AB174" s="8"/>
      <c r="AC174" s="8"/>
      <c r="AD174" s="8"/>
      <c r="AE174" s="8"/>
      <c r="AO174" s="7">
        <v>1</v>
      </c>
      <c r="AP174" s="7">
        <f t="shared" si="32"/>
        <v>0.03</v>
      </c>
      <c r="AQ174" s="7">
        <f t="shared" si="23"/>
        <v>100</v>
      </c>
      <c r="AR174" s="7">
        <f t="shared" si="24"/>
        <v>0</v>
      </c>
      <c r="AS174" s="7">
        <f t="shared" si="25"/>
        <v>1</v>
      </c>
      <c r="AT174" s="7">
        <f t="shared" si="26"/>
        <v>0</v>
      </c>
      <c r="AU174" s="7">
        <f t="shared" si="27"/>
        <v>0</v>
      </c>
      <c r="AV174" s="7">
        <f t="shared" si="28"/>
        <v>0</v>
      </c>
      <c r="AW174" s="7">
        <f t="shared" si="29"/>
        <v>0</v>
      </c>
      <c r="AX174" s="7">
        <f t="shared" si="30"/>
        <v>100</v>
      </c>
      <c r="AY174" s="7">
        <v>0</v>
      </c>
      <c r="AZ174" s="7">
        <v>5</v>
      </c>
      <c r="BA174" s="5">
        <v>29</v>
      </c>
      <c r="BB174" s="7">
        <v>0.5</v>
      </c>
      <c r="BC174" s="7">
        <v>6</v>
      </c>
      <c r="BD174" s="7">
        <f t="shared" si="31"/>
        <v>6</v>
      </c>
      <c r="BE174" s="5">
        <v>0</v>
      </c>
      <c r="BF174" s="5">
        <v>0</v>
      </c>
      <c r="BG174" s="5">
        <v>400</v>
      </c>
      <c r="BH174" s="7">
        <v>15000</v>
      </c>
      <c r="BI174" s="7">
        <v>200</v>
      </c>
      <c r="BJ174" s="7">
        <v>4</v>
      </c>
      <c r="BP174" s="5">
        <v>1</v>
      </c>
      <c r="BT174" s="5">
        <v>1</v>
      </c>
      <c r="CN174" s="5">
        <v>1</v>
      </c>
      <c r="CU174" s="5">
        <v>2</v>
      </c>
      <c r="CV174" s="5">
        <v>2</v>
      </c>
      <c r="CW174" s="5">
        <v>0</v>
      </c>
      <c r="CX174" s="7">
        <v>8</v>
      </c>
      <c r="CY174" s="5">
        <v>2</v>
      </c>
      <c r="DA174" s="5">
        <v>1</v>
      </c>
      <c r="DB174" s="5">
        <v>1</v>
      </c>
      <c r="DC174" s="5">
        <v>1</v>
      </c>
      <c r="DD174" s="5">
        <v>365</v>
      </c>
      <c r="DF174" s="5">
        <v>1</v>
      </c>
      <c r="DG174" s="5">
        <v>1</v>
      </c>
      <c r="DH174" s="5">
        <v>365</v>
      </c>
      <c r="DJ174" s="5">
        <v>1</v>
      </c>
      <c r="DK174" s="5">
        <v>1</v>
      </c>
      <c r="DL174" s="5">
        <v>365</v>
      </c>
      <c r="DM174" s="5">
        <v>1</v>
      </c>
      <c r="DO174" s="5">
        <v>1</v>
      </c>
      <c r="DQ174" s="5">
        <v>1</v>
      </c>
      <c r="DS174" s="5">
        <v>1</v>
      </c>
      <c r="DT174" s="5">
        <v>3</v>
      </c>
      <c r="DU174" s="5">
        <v>1</v>
      </c>
      <c r="DX174" s="7">
        <v>650</v>
      </c>
      <c r="DY174" s="7">
        <v>700</v>
      </c>
      <c r="EC174" s="5" t="s">
        <v>111</v>
      </c>
      <c r="ED174" s="5" t="s">
        <v>111</v>
      </c>
      <c r="EE174" s="5">
        <v>0</v>
      </c>
      <c r="EF174" s="5">
        <v>0</v>
      </c>
      <c r="EG174" s="5" t="s">
        <v>111</v>
      </c>
      <c r="EH174" s="5" t="s">
        <v>111</v>
      </c>
      <c r="EI174" s="5" t="s">
        <v>111</v>
      </c>
      <c r="EJ174" s="5" t="s">
        <v>114</v>
      </c>
      <c r="EK174" s="5">
        <v>14</v>
      </c>
      <c r="EL174" s="5">
        <v>26</v>
      </c>
    </row>
    <row r="175" spans="1:142" x14ac:dyDescent="0.25">
      <c r="A175" s="5">
        <v>53</v>
      </c>
      <c r="B175" s="5" t="s">
        <v>461</v>
      </c>
      <c r="C175" s="5" t="s">
        <v>462</v>
      </c>
      <c r="D175" s="6"/>
      <c r="E175" s="6"/>
      <c r="F175" s="47"/>
      <c r="G175" s="5">
        <v>0</v>
      </c>
      <c r="H175" s="5">
        <v>38</v>
      </c>
      <c r="I175" s="5">
        <v>6</v>
      </c>
      <c r="J175" s="5">
        <v>2</v>
      </c>
      <c r="K175" s="1">
        <v>0</v>
      </c>
      <c r="L175" s="1">
        <f t="shared" si="22"/>
        <v>0</v>
      </c>
      <c r="M175" s="7" t="s">
        <v>140</v>
      </c>
      <c r="N175" s="7" t="s">
        <v>463</v>
      </c>
      <c r="O175" s="5" t="s">
        <v>120</v>
      </c>
      <c r="P175" s="7" t="s">
        <v>110</v>
      </c>
      <c r="Q175" s="7" t="s">
        <v>110</v>
      </c>
      <c r="R175" s="7">
        <v>2</v>
      </c>
      <c r="S175" s="7">
        <v>3</v>
      </c>
      <c r="T175" s="7">
        <v>1.2564</v>
      </c>
      <c r="Z175" s="8"/>
      <c r="AA175" s="8"/>
      <c r="AB175" s="8"/>
      <c r="AC175" s="8"/>
      <c r="AD175" s="8"/>
      <c r="AE175" s="8">
        <v>2</v>
      </c>
      <c r="AO175" s="7">
        <v>2</v>
      </c>
      <c r="AP175" s="7">
        <f t="shared" si="32"/>
        <v>0.2</v>
      </c>
      <c r="AQ175" s="7">
        <f t="shared" si="23"/>
        <v>0</v>
      </c>
      <c r="AR175" s="7">
        <f t="shared" si="24"/>
        <v>0</v>
      </c>
      <c r="AS175" s="7">
        <f t="shared" si="25"/>
        <v>0</v>
      </c>
      <c r="AT175" s="7">
        <f t="shared" si="26"/>
        <v>0</v>
      </c>
      <c r="AU175" s="7">
        <f t="shared" si="27"/>
        <v>0</v>
      </c>
      <c r="AV175" s="7">
        <f t="shared" si="28"/>
        <v>0</v>
      </c>
      <c r="AW175" s="7">
        <f t="shared" si="29"/>
        <v>30</v>
      </c>
      <c r="AX175" s="7">
        <f t="shared" si="30"/>
        <v>30</v>
      </c>
      <c r="AY175" s="7">
        <v>0</v>
      </c>
      <c r="AZ175" s="7">
        <v>14.5</v>
      </c>
      <c r="BA175" s="5">
        <v>13</v>
      </c>
      <c r="BB175" s="7">
        <v>0</v>
      </c>
      <c r="BC175" s="7">
        <v>39</v>
      </c>
      <c r="BD175" s="7">
        <f t="shared" si="31"/>
        <v>19.5</v>
      </c>
      <c r="BE175" s="5">
        <v>1</v>
      </c>
      <c r="BF175" s="5">
        <v>250</v>
      </c>
      <c r="BG175" s="5">
        <v>2100</v>
      </c>
      <c r="BH175" s="7">
        <v>30000</v>
      </c>
      <c r="BI175" s="7">
        <v>1400</v>
      </c>
      <c r="BJ175" s="7">
        <v>28</v>
      </c>
      <c r="BP175" s="5">
        <v>2</v>
      </c>
      <c r="CU175" s="5">
        <v>2</v>
      </c>
      <c r="CV175" s="5">
        <v>2</v>
      </c>
      <c r="CW175" s="5">
        <v>0</v>
      </c>
      <c r="CX175" s="7">
        <v>8</v>
      </c>
      <c r="CY175" s="5">
        <v>4</v>
      </c>
      <c r="DA175" s="5">
        <v>1</v>
      </c>
      <c r="DD175" s="5">
        <v>365</v>
      </c>
      <c r="DF175" s="5">
        <v>1</v>
      </c>
      <c r="DH175" s="5">
        <v>365</v>
      </c>
      <c r="DJ175" s="5">
        <v>1</v>
      </c>
      <c r="DL175" s="5">
        <v>365</v>
      </c>
      <c r="DM175" s="5">
        <v>1</v>
      </c>
      <c r="DQ175" s="5">
        <v>1</v>
      </c>
      <c r="DT175" s="5">
        <v>3</v>
      </c>
      <c r="DU175" s="5">
        <v>1</v>
      </c>
      <c r="DX175" s="7">
        <v>800</v>
      </c>
      <c r="DY175" s="7">
        <v>600</v>
      </c>
      <c r="EC175" s="5" t="s">
        <v>111</v>
      </c>
      <c r="ED175" s="5" t="s">
        <v>111</v>
      </c>
      <c r="EE175" s="5">
        <v>0</v>
      </c>
      <c r="EF175" s="5">
        <v>0</v>
      </c>
      <c r="EG175" s="5" t="s">
        <v>111</v>
      </c>
      <c r="EH175" s="5" t="s">
        <v>111</v>
      </c>
      <c r="EI175" s="5" t="s">
        <v>111</v>
      </c>
      <c r="EJ175" s="5" t="s">
        <v>114</v>
      </c>
      <c r="EK175" s="5">
        <v>14</v>
      </c>
      <c r="EL175" s="5">
        <v>27</v>
      </c>
    </row>
    <row r="176" spans="1:142" x14ac:dyDescent="0.25">
      <c r="A176" s="5">
        <v>54</v>
      </c>
      <c r="B176" s="5" t="s">
        <v>464</v>
      </c>
      <c r="C176" s="5" t="s">
        <v>465</v>
      </c>
      <c r="D176" s="6"/>
      <c r="E176" s="6"/>
      <c r="F176" s="47"/>
      <c r="G176" s="5">
        <v>0</v>
      </c>
      <c r="H176" s="5">
        <v>21</v>
      </c>
      <c r="I176" s="5">
        <v>1</v>
      </c>
      <c r="J176" s="5">
        <v>0</v>
      </c>
      <c r="K176" s="1">
        <v>10</v>
      </c>
      <c r="L176" s="1">
        <f t="shared" si="22"/>
        <v>3</v>
      </c>
      <c r="M176" s="7" t="s">
        <v>107</v>
      </c>
      <c r="N176" s="7" t="s">
        <v>466</v>
      </c>
      <c r="O176" s="5" t="s">
        <v>120</v>
      </c>
      <c r="P176" s="7" t="s">
        <v>110</v>
      </c>
      <c r="Q176" s="7" t="s">
        <v>110</v>
      </c>
      <c r="R176" s="7">
        <v>2</v>
      </c>
      <c r="S176" s="7">
        <v>6</v>
      </c>
      <c r="T176" s="7">
        <v>0</v>
      </c>
      <c r="Z176" s="8"/>
      <c r="AA176" s="8">
        <v>1</v>
      </c>
      <c r="AB176" s="8"/>
      <c r="AC176" s="8">
        <v>1</v>
      </c>
      <c r="AD176" s="8"/>
      <c r="AE176" s="8"/>
      <c r="AO176" s="7">
        <v>2</v>
      </c>
      <c r="AP176" s="7">
        <f t="shared" si="32"/>
        <v>0.06</v>
      </c>
      <c r="AQ176" s="7">
        <f t="shared" si="23"/>
        <v>50</v>
      </c>
      <c r="AR176" s="7">
        <f t="shared" si="24"/>
        <v>0</v>
      </c>
      <c r="AS176" s="7">
        <f t="shared" si="25"/>
        <v>0.5</v>
      </c>
      <c r="AT176" s="7">
        <f t="shared" si="26"/>
        <v>0</v>
      </c>
      <c r="AU176" s="7">
        <f t="shared" si="27"/>
        <v>50</v>
      </c>
      <c r="AV176" s="7">
        <f t="shared" si="28"/>
        <v>0</v>
      </c>
      <c r="AW176" s="7">
        <f t="shared" si="29"/>
        <v>0</v>
      </c>
      <c r="AX176" s="7">
        <f t="shared" si="30"/>
        <v>100</v>
      </c>
      <c r="AY176" s="7">
        <v>0</v>
      </c>
      <c r="AZ176" s="7">
        <v>6.5</v>
      </c>
      <c r="BA176" s="5">
        <v>30</v>
      </c>
      <c r="BB176" s="7">
        <v>0</v>
      </c>
      <c r="BC176" s="7">
        <v>19</v>
      </c>
      <c r="BD176" s="7">
        <f t="shared" si="31"/>
        <v>9.5</v>
      </c>
      <c r="BE176" s="5">
        <v>0</v>
      </c>
      <c r="BF176" s="5">
        <v>0</v>
      </c>
      <c r="BG176" s="5">
        <v>1100</v>
      </c>
      <c r="BH176" s="7">
        <v>30000</v>
      </c>
      <c r="BI176" s="7">
        <v>700</v>
      </c>
      <c r="BJ176" s="7">
        <v>14</v>
      </c>
      <c r="BZ176" s="5">
        <v>1</v>
      </c>
      <c r="CA176" s="5">
        <v>1</v>
      </c>
      <c r="CH176" s="5">
        <v>1</v>
      </c>
      <c r="CU176" s="5">
        <v>2</v>
      </c>
      <c r="CV176" s="5">
        <v>2</v>
      </c>
      <c r="CW176" s="5">
        <v>0</v>
      </c>
      <c r="CX176" s="7">
        <v>8</v>
      </c>
      <c r="CY176" s="5">
        <v>4</v>
      </c>
      <c r="DA176" s="5">
        <v>1</v>
      </c>
      <c r="DD176" s="5">
        <v>365</v>
      </c>
      <c r="DF176" s="5">
        <v>1</v>
      </c>
      <c r="DH176" s="5">
        <v>365</v>
      </c>
      <c r="DJ176" s="5">
        <v>1</v>
      </c>
      <c r="DL176" s="5">
        <v>365</v>
      </c>
      <c r="DM176" s="5">
        <v>1</v>
      </c>
      <c r="DQ176" s="5">
        <v>1</v>
      </c>
      <c r="DT176" s="5">
        <v>3</v>
      </c>
      <c r="DU176" s="5">
        <v>2</v>
      </c>
      <c r="DX176" s="7">
        <v>800</v>
      </c>
      <c r="DY176" s="7">
        <v>900</v>
      </c>
      <c r="EC176" s="5" t="s">
        <v>111</v>
      </c>
      <c r="ED176" s="5" t="s">
        <v>111</v>
      </c>
      <c r="EE176" s="5">
        <v>0</v>
      </c>
      <c r="EF176" s="5">
        <v>0</v>
      </c>
      <c r="EG176" s="5" t="s">
        <v>111</v>
      </c>
      <c r="EH176" s="5" t="s">
        <v>111</v>
      </c>
      <c r="EI176" s="5" t="s">
        <v>111</v>
      </c>
      <c r="EJ176" s="5" t="s">
        <v>114</v>
      </c>
      <c r="EK176" s="5">
        <v>13</v>
      </c>
      <c r="EL176" s="5">
        <v>26</v>
      </c>
    </row>
    <row r="177" spans="1:142" x14ac:dyDescent="0.25">
      <c r="A177" s="5">
        <v>55</v>
      </c>
      <c r="B177" s="5" t="s">
        <v>467</v>
      </c>
      <c r="C177" s="5" t="s">
        <v>468</v>
      </c>
      <c r="D177" s="6"/>
      <c r="E177" s="6"/>
      <c r="F177" s="47"/>
      <c r="G177" s="5">
        <v>0</v>
      </c>
      <c r="H177" s="5">
        <v>59</v>
      </c>
      <c r="I177" s="5">
        <v>17</v>
      </c>
      <c r="J177" s="5">
        <v>12</v>
      </c>
      <c r="K177" s="1">
        <v>0</v>
      </c>
      <c r="L177" s="1">
        <f t="shared" si="22"/>
        <v>0</v>
      </c>
      <c r="M177" s="7" t="s">
        <v>140</v>
      </c>
      <c r="N177" s="7" t="s">
        <v>340</v>
      </c>
      <c r="O177" s="5" t="s">
        <v>120</v>
      </c>
      <c r="P177" s="7" t="s">
        <v>110</v>
      </c>
      <c r="Q177" s="7" t="s">
        <v>110</v>
      </c>
      <c r="R177" s="7">
        <v>3</v>
      </c>
      <c r="S177" s="7">
        <v>2</v>
      </c>
      <c r="T177" s="7">
        <v>0</v>
      </c>
      <c r="Z177" s="8"/>
      <c r="AA177" s="8"/>
      <c r="AB177" s="8"/>
      <c r="AC177" s="8"/>
      <c r="AD177" s="8">
        <v>1</v>
      </c>
      <c r="AE177" s="8"/>
      <c r="AO177" s="7">
        <v>1</v>
      </c>
      <c r="AP177" s="7">
        <f t="shared" si="32"/>
        <v>0.1</v>
      </c>
      <c r="AQ177" s="7">
        <f t="shared" si="23"/>
        <v>0</v>
      </c>
      <c r="AR177" s="7">
        <f t="shared" si="24"/>
        <v>0</v>
      </c>
      <c r="AS177" s="7">
        <f t="shared" si="25"/>
        <v>0</v>
      </c>
      <c r="AT177" s="7">
        <f t="shared" si="26"/>
        <v>0</v>
      </c>
      <c r="AU177" s="7">
        <f t="shared" si="27"/>
        <v>0</v>
      </c>
      <c r="AV177" s="7">
        <f t="shared" si="28"/>
        <v>30</v>
      </c>
      <c r="AW177" s="7">
        <f t="shared" si="29"/>
        <v>0</v>
      </c>
      <c r="AX177" s="7">
        <f t="shared" si="30"/>
        <v>0</v>
      </c>
      <c r="AY177" s="7">
        <v>0</v>
      </c>
      <c r="AZ177" s="7">
        <v>30</v>
      </c>
      <c r="BA177" s="5">
        <v>9</v>
      </c>
      <c r="BB177" s="7">
        <v>0</v>
      </c>
      <c r="BC177" s="7">
        <v>36</v>
      </c>
      <c r="BD177" s="7">
        <f t="shared" si="31"/>
        <v>36</v>
      </c>
      <c r="BE177" s="5">
        <v>0</v>
      </c>
      <c r="BF177" s="5">
        <v>0</v>
      </c>
      <c r="BG177" s="5">
        <v>1900</v>
      </c>
      <c r="BH177" s="7">
        <v>30000</v>
      </c>
      <c r="BI177" s="7">
        <v>1200</v>
      </c>
      <c r="BJ177" s="7">
        <v>24</v>
      </c>
      <c r="BS177" s="5">
        <v>1</v>
      </c>
      <c r="CU177" s="5">
        <v>2</v>
      </c>
      <c r="CV177" s="5">
        <v>2</v>
      </c>
      <c r="CW177" s="5">
        <v>0</v>
      </c>
      <c r="CX177" s="7">
        <v>8</v>
      </c>
      <c r="CY177" s="5">
        <v>4</v>
      </c>
      <c r="DA177" s="5">
        <v>1</v>
      </c>
      <c r="DD177" s="5">
        <v>365</v>
      </c>
      <c r="DF177" s="5">
        <v>1</v>
      </c>
      <c r="DH177" s="5">
        <v>365</v>
      </c>
      <c r="DJ177" s="5">
        <v>1</v>
      </c>
      <c r="DL177" s="5">
        <v>365</v>
      </c>
      <c r="DM177" s="5">
        <v>1</v>
      </c>
      <c r="DQ177" s="5">
        <v>1</v>
      </c>
      <c r="DT177" s="5">
        <v>3</v>
      </c>
      <c r="DU177" s="5">
        <v>1</v>
      </c>
      <c r="DX177" s="7">
        <v>650</v>
      </c>
      <c r="DY177" s="7">
        <v>400</v>
      </c>
      <c r="EC177" s="5" t="s">
        <v>111</v>
      </c>
      <c r="ED177" s="5" t="s">
        <v>111</v>
      </c>
      <c r="EE177" s="5">
        <v>0</v>
      </c>
      <c r="EF177" s="5">
        <v>0</v>
      </c>
      <c r="EG177" s="5" t="s">
        <v>111</v>
      </c>
      <c r="EH177" s="5" t="s">
        <v>111</v>
      </c>
      <c r="EI177" s="5" t="s">
        <v>111</v>
      </c>
      <c r="EJ177" s="5" t="s">
        <v>114</v>
      </c>
      <c r="EK177" s="5">
        <v>13</v>
      </c>
      <c r="EL177" s="5">
        <v>26</v>
      </c>
    </row>
    <row r="178" spans="1:142" x14ac:dyDescent="0.25">
      <c r="A178" s="5">
        <v>56</v>
      </c>
      <c r="B178" s="5" t="s">
        <v>469</v>
      </c>
      <c r="C178" s="5" t="s">
        <v>470</v>
      </c>
      <c r="D178" s="6"/>
      <c r="E178" s="6"/>
      <c r="F178" s="47"/>
      <c r="G178" s="5">
        <v>0</v>
      </c>
      <c r="H178" s="5">
        <v>38</v>
      </c>
      <c r="I178" s="5">
        <v>7</v>
      </c>
      <c r="J178" s="5">
        <v>2</v>
      </c>
      <c r="K178" s="1">
        <v>10</v>
      </c>
      <c r="L178" s="1">
        <f t="shared" si="22"/>
        <v>3</v>
      </c>
      <c r="M178" s="7" t="s">
        <v>107</v>
      </c>
      <c r="N178" s="7" t="s">
        <v>340</v>
      </c>
      <c r="O178" s="5" t="s">
        <v>120</v>
      </c>
      <c r="P178" s="7" t="s">
        <v>110</v>
      </c>
      <c r="Q178" s="7" t="s">
        <v>110</v>
      </c>
      <c r="R178" s="7">
        <v>2</v>
      </c>
      <c r="S178" s="7">
        <v>6</v>
      </c>
      <c r="T178" s="7">
        <v>0</v>
      </c>
      <c r="Z178" s="8"/>
      <c r="AA178" s="8"/>
      <c r="AB178" s="8"/>
      <c r="AC178" s="8">
        <v>1</v>
      </c>
      <c r="AD178" s="8"/>
      <c r="AE178" s="8"/>
      <c r="AO178" s="7">
        <v>1</v>
      </c>
      <c r="AP178" s="7">
        <f t="shared" si="32"/>
        <v>0.03</v>
      </c>
      <c r="AQ178" s="7">
        <f t="shared" si="23"/>
        <v>0</v>
      </c>
      <c r="AR178" s="7">
        <f t="shared" si="24"/>
        <v>0</v>
      </c>
      <c r="AS178" s="7">
        <f t="shared" si="25"/>
        <v>0</v>
      </c>
      <c r="AT178" s="7">
        <f t="shared" si="26"/>
        <v>0</v>
      </c>
      <c r="AU178" s="7">
        <f t="shared" si="27"/>
        <v>100</v>
      </c>
      <c r="AV178" s="7">
        <f t="shared" si="28"/>
        <v>0</v>
      </c>
      <c r="AW178" s="7">
        <f t="shared" si="29"/>
        <v>0</v>
      </c>
      <c r="AX178" s="7">
        <f t="shared" si="30"/>
        <v>100</v>
      </c>
      <c r="AY178" s="7">
        <v>0</v>
      </c>
      <c r="AZ178" s="7">
        <v>9</v>
      </c>
      <c r="BA178" s="5">
        <v>31</v>
      </c>
      <c r="BB178" s="7">
        <v>0</v>
      </c>
      <c r="BC178" s="7">
        <v>14</v>
      </c>
      <c r="BD178" s="7">
        <f t="shared" si="31"/>
        <v>14</v>
      </c>
      <c r="BE178" s="5">
        <v>0</v>
      </c>
      <c r="BF178" s="5">
        <v>0</v>
      </c>
      <c r="BG178" s="5">
        <v>800</v>
      </c>
      <c r="BH178" s="7">
        <v>30000</v>
      </c>
      <c r="BI178" s="7">
        <v>500</v>
      </c>
      <c r="BJ178" s="7">
        <v>10</v>
      </c>
      <c r="CA178" s="5">
        <v>1</v>
      </c>
      <c r="CU178" s="5">
        <v>2</v>
      </c>
      <c r="CV178" s="5">
        <v>2</v>
      </c>
      <c r="CW178" s="5">
        <v>0</v>
      </c>
      <c r="CX178" s="7">
        <v>8</v>
      </c>
      <c r="CY178" s="5">
        <v>4</v>
      </c>
      <c r="DA178" s="5">
        <v>1</v>
      </c>
      <c r="DD178" s="5">
        <v>365</v>
      </c>
      <c r="DF178" s="5">
        <v>1</v>
      </c>
      <c r="DH178" s="5">
        <v>365</v>
      </c>
      <c r="DJ178" s="5">
        <v>1</v>
      </c>
      <c r="DL178" s="5">
        <v>365</v>
      </c>
      <c r="DM178" s="5">
        <v>1</v>
      </c>
      <c r="DQ178" s="5">
        <v>1</v>
      </c>
      <c r="DT178" s="5">
        <v>3</v>
      </c>
      <c r="DU178" s="5">
        <v>2</v>
      </c>
      <c r="DX178" s="7">
        <v>650</v>
      </c>
      <c r="DY178" s="7">
        <v>800</v>
      </c>
      <c r="EC178" s="5" t="s">
        <v>111</v>
      </c>
      <c r="ED178" s="5" t="s">
        <v>111</v>
      </c>
      <c r="EE178" s="5">
        <v>0</v>
      </c>
      <c r="EF178" s="5">
        <v>0</v>
      </c>
      <c r="EG178" s="5" t="s">
        <v>111</v>
      </c>
      <c r="EH178" s="5" t="s">
        <v>111</v>
      </c>
      <c r="EI178" s="5" t="s">
        <v>111</v>
      </c>
      <c r="EJ178" s="5" t="s">
        <v>114</v>
      </c>
      <c r="EK178" s="5">
        <v>13</v>
      </c>
      <c r="EL178" s="5">
        <v>27</v>
      </c>
    </row>
    <row r="179" spans="1:142" x14ac:dyDescent="0.25">
      <c r="A179" s="5">
        <v>57</v>
      </c>
      <c r="B179" s="5" t="s">
        <v>471</v>
      </c>
      <c r="C179" s="5" t="s">
        <v>472</v>
      </c>
      <c r="D179" s="6"/>
      <c r="E179" s="6"/>
      <c r="F179" s="47"/>
      <c r="G179" s="5">
        <v>0</v>
      </c>
      <c r="H179" s="5">
        <v>25</v>
      </c>
      <c r="I179" s="5">
        <v>2</v>
      </c>
      <c r="J179" s="5">
        <v>0</v>
      </c>
      <c r="K179" s="1">
        <v>0</v>
      </c>
      <c r="L179" s="1">
        <f t="shared" si="22"/>
        <v>0</v>
      </c>
      <c r="M179" s="7" t="s">
        <v>140</v>
      </c>
      <c r="N179" s="7" t="s">
        <v>473</v>
      </c>
      <c r="O179" s="5" t="s">
        <v>474</v>
      </c>
      <c r="P179" s="7" t="s">
        <v>110</v>
      </c>
      <c r="Q179" s="7" t="s">
        <v>110</v>
      </c>
      <c r="R179" s="7">
        <v>3</v>
      </c>
      <c r="S179" s="7">
        <v>4</v>
      </c>
      <c r="T179" s="7">
        <v>0.25287999999999999</v>
      </c>
      <c r="Z179" s="8"/>
      <c r="AA179" s="8"/>
      <c r="AB179" s="8"/>
      <c r="AC179" s="8">
        <v>1</v>
      </c>
      <c r="AD179" s="8"/>
      <c r="AE179" s="8">
        <v>1</v>
      </c>
      <c r="AO179" s="7">
        <v>2</v>
      </c>
      <c r="AP179" s="7">
        <f t="shared" si="32"/>
        <v>0.13</v>
      </c>
      <c r="AQ179" s="7">
        <f t="shared" si="23"/>
        <v>0</v>
      </c>
      <c r="AR179" s="7">
        <f t="shared" si="24"/>
        <v>0</v>
      </c>
      <c r="AS179" s="7">
        <f t="shared" si="25"/>
        <v>0</v>
      </c>
      <c r="AT179" s="7">
        <f t="shared" si="26"/>
        <v>0</v>
      </c>
      <c r="AU179" s="7">
        <f t="shared" si="27"/>
        <v>23.076923076923077</v>
      </c>
      <c r="AV179" s="7">
        <f t="shared" si="28"/>
        <v>0</v>
      </c>
      <c r="AW179" s="7">
        <f t="shared" si="29"/>
        <v>23.076923076923077</v>
      </c>
      <c r="AX179" s="7">
        <f t="shared" si="30"/>
        <v>46.153846153846153</v>
      </c>
      <c r="AY179" s="7">
        <v>0</v>
      </c>
      <c r="AZ179" s="7">
        <v>15.5</v>
      </c>
      <c r="BA179" s="5">
        <v>14</v>
      </c>
      <c r="BB179" s="7">
        <v>0</v>
      </c>
      <c r="BC179" s="7">
        <v>39</v>
      </c>
      <c r="BD179" s="7">
        <f t="shared" si="31"/>
        <v>19.5</v>
      </c>
      <c r="BE179" s="5">
        <v>1</v>
      </c>
      <c r="BF179" s="5">
        <v>350</v>
      </c>
      <c r="BG179" s="5">
        <v>2200</v>
      </c>
      <c r="BH179" s="7">
        <v>30000</v>
      </c>
      <c r="BI179" s="7">
        <v>1300</v>
      </c>
      <c r="BJ179" s="7">
        <v>26</v>
      </c>
      <c r="BP179" s="5">
        <v>1</v>
      </c>
      <c r="BU179" s="5">
        <v>1</v>
      </c>
      <c r="CU179" s="5">
        <v>2</v>
      </c>
      <c r="CV179" s="5">
        <v>2</v>
      </c>
      <c r="CW179" s="5">
        <v>0</v>
      </c>
      <c r="CX179" s="7">
        <v>8</v>
      </c>
      <c r="CY179" s="5">
        <v>4</v>
      </c>
      <c r="DA179" s="5">
        <v>1</v>
      </c>
      <c r="DC179" s="5">
        <v>1</v>
      </c>
      <c r="DD179" s="5">
        <v>365</v>
      </c>
      <c r="DF179" s="5">
        <v>3</v>
      </c>
      <c r="DG179" s="5">
        <v>1</v>
      </c>
      <c r="DH179" s="5">
        <v>365</v>
      </c>
      <c r="DJ179" s="5">
        <v>1</v>
      </c>
      <c r="DK179" s="5">
        <v>1</v>
      </c>
      <c r="DL179" s="5">
        <v>365</v>
      </c>
      <c r="DM179" s="5">
        <v>1</v>
      </c>
      <c r="DO179" s="5">
        <v>1</v>
      </c>
      <c r="DQ179" s="5">
        <v>1</v>
      </c>
      <c r="DS179" s="5">
        <v>1</v>
      </c>
      <c r="DT179" s="5">
        <v>3</v>
      </c>
      <c r="DU179" s="5">
        <v>3</v>
      </c>
      <c r="DV179" s="7">
        <v>179000</v>
      </c>
      <c r="DX179" s="7">
        <v>800</v>
      </c>
      <c r="DY179" s="7">
        <v>600</v>
      </c>
      <c r="EC179" s="5" t="s">
        <v>111</v>
      </c>
      <c r="ED179" s="5" t="s">
        <v>111</v>
      </c>
      <c r="EE179" s="5">
        <v>0</v>
      </c>
      <c r="EF179" s="5">
        <v>0</v>
      </c>
      <c r="EG179" s="5" t="s">
        <v>111</v>
      </c>
      <c r="EH179" s="5" t="s">
        <v>111</v>
      </c>
      <c r="EI179" s="5" t="s">
        <v>111</v>
      </c>
      <c r="EJ179" s="5" t="s">
        <v>114</v>
      </c>
      <c r="EK179" s="5">
        <v>14</v>
      </c>
      <c r="EL179" s="5">
        <v>27</v>
      </c>
    </row>
    <row r="180" spans="1:142" x14ac:dyDescent="0.25">
      <c r="A180" s="5">
        <v>58</v>
      </c>
      <c r="B180" s="5" t="s">
        <v>475</v>
      </c>
      <c r="C180" s="5" t="s">
        <v>476</v>
      </c>
      <c r="D180" s="6"/>
      <c r="E180" s="6"/>
      <c r="F180" s="47"/>
      <c r="G180" s="5">
        <v>0</v>
      </c>
      <c r="H180" s="5">
        <v>50</v>
      </c>
      <c r="I180" s="5">
        <v>12</v>
      </c>
      <c r="J180" s="5">
        <v>9</v>
      </c>
      <c r="K180" s="1">
        <v>0</v>
      </c>
      <c r="L180" s="1">
        <f t="shared" si="22"/>
        <v>0</v>
      </c>
      <c r="M180" s="7" t="s">
        <v>107</v>
      </c>
      <c r="N180" s="7" t="s">
        <v>120</v>
      </c>
      <c r="O180" s="5" t="s">
        <v>340</v>
      </c>
      <c r="P180" s="7" t="s">
        <v>110</v>
      </c>
      <c r="Q180" s="7" t="s">
        <v>110</v>
      </c>
      <c r="R180" s="7">
        <v>3</v>
      </c>
      <c r="S180" s="7">
        <v>4</v>
      </c>
      <c r="T180" s="7">
        <v>0</v>
      </c>
      <c r="Z180" s="8"/>
      <c r="AA180" s="8"/>
      <c r="AB180" s="8">
        <v>2</v>
      </c>
      <c r="AC180" s="8"/>
      <c r="AD180" s="8"/>
      <c r="AE180" s="8"/>
      <c r="AO180" s="7">
        <v>2</v>
      </c>
      <c r="AP180" s="7">
        <f t="shared" si="32"/>
        <v>0.06</v>
      </c>
      <c r="AQ180" s="7">
        <f t="shared" si="23"/>
        <v>0</v>
      </c>
      <c r="AR180" s="7">
        <f t="shared" si="24"/>
        <v>0</v>
      </c>
      <c r="AS180" s="7">
        <f t="shared" si="25"/>
        <v>0</v>
      </c>
      <c r="AT180" s="7">
        <f t="shared" si="26"/>
        <v>100</v>
      </c>
      <c r="AU180" s="7">
        <f t="shared" si="27"/>
        <v>0</v>
      </c>
      <c r="AV180" s="7">
        <f t="shared" si="28"/>
        <v>0</v>
      </c>
      <c r="AW180" s="7">
        <f t="shared" si="29"/>
        <v>0</v>
      </c>
      <c r="AX180" s="7">
        <f t="shared" si="30"/>
        <v>0</v>
      </c>
      <c r="AY180" s="7">
        <v>0</v>
      </c>
      <c r="AZ180" s="7">
        <v>7</v>
      </c>
      <c r="BA180" s="5">
        <v>6</v>
      </c>
      <c r="BB180" s="7">
        <v>0</v>
      </c>
      <c r="BC180" s="7">
        <v>20</v>
      </c>
      <c r="BD180" s="7">
        <f t="shared" si="31"/>
        <v>10</v>
      </c>
      <c r="BE180" s="5">
        <v>0</v>
      </c>
      <c r="BF180" s="5">
        <v>0</v>
      </c>
      <c r="BG180" s="5">
        <v>1200</v>
      </c>
      <c r="BH180" s="7">
        <v>30000</v>
      </c>
      <c r="BI180" s="7">
        <v>700</v>
      </c>
      <c r="BJ180" s="7">
        <v>14</v>
      </c>
      <c r="BP180" s="5">
        <v>1</v>
      </c>
      <c r="BR180" s="5">
        <v>2</v>
      </c>
      <c r="CN180" s="5">
        <v>1</v>
      </c>
      <c r="CU180" s="5">
        <v>6</v>
      </c>
      <c r="CV180" s="5">
        <v>2</v>
      </c>
      <c r="CW180" s="5">
        <v>0</v>
      </c>
      <c r="CX180" s="7">
        <v>8</v>
      </c>
      <c r="CY180" s="5">
        <v>4</v>
      </c>
      <c r="DA180" s="5">
        <v>1</v>
      </c>
      <c r="DD180" s="5">
        <v>365</v>
      </c>
      <c r="DF180" s="5">
        <v>1</v>
      </c>
      <c r="DH180" s="5">
        <v>365</v>
      </c>
      <c r="DJ180" s="5">
        <v>1</v>
      </c>
      <c r="DL180" s="5">
        <v>365</v>
      </c>
      <c r="DM180" s="5">
        <v>1</v>
      </c>
      <c r="DQ180" s="5">
        <v>1</v>
      </c>
      <c r="DT180" s="5">
        <v>3</v>
      </c>
      <c r="DU180" s="5">
        <v>1</v>
      </c>
      <c r="DX180" s="7">
        <v>800</v>
      </c>
      <c r="DY180" s="7">
        <v>600</v>
      </c>
      <c r="EC180" s="5" t="s">
        <v>111</v>
      </c>
      <c r="ED180" s="5" t="s">
        <v>111</v>
      </c>
      <c r="EE180" s="5">
        <v>0</v>
      </c>
      <c r="EF180" s="5">
        <v>0</v>
      </c>
      <c r="EG180" s="5" t="s">
        <v>111</v>
      </c>
      <c r="EH180" s="5" t="s">
        <v>111</v>
      </c>
      <c r="EI180" s="5" t="s">
        <v>111</v>
      </c>
      <c r="EJ180" s="5" t="s">
        <v>114</v>
      </c>
      <c r="EK180" s="5">
        <v>14</v>
      </c>
      <c r="EL180" s="5">
        <v>27</v>
      </c>
    </row>
    <row r="181" spans="1:142" x14ac:dyDescent="0.25">
      <c r="A181" s="5">
        <v>59</v>
      </c>
      <c r="B181" s="5" t="s">
        <v>477</v>
      </c>
      <c r="C181" s="5" t="s">
        <v>478</v>
      </c>
      <c r="D181" s="6"/>
      <c r="E181" s="6"/>
      <c r="F181" s="47"/>
      <c r="G181" s="5">
        <v>0</v>
      </c>
      <c r="H181" s="5">
        <v>41</v>
      </c>
      <c r="I181" s="5">
        <v>8</v>
      </c>
      <c r="J181" s="5">
        <v>5</v>
      </c>
      <c r="K181" s="1">
        <v>0</v>
      </c>
      <c r="L181" s="1">
        <f t="shared" si="22"/>
        <v>0</v>
      </c>
      <c r="M181" s="7" t="s">
        <v>140</v>
      </c>
      <c r="N181" s="7" t="s">
        <v>120</v>
      </c>
      <c r="O181" s="5" t="s">
        <v>340</v>
      </c>
      <c r="P181" s="7" t="s">
        <v>110</v>
      </c>
      <c r="Q181" s="7" t="s">
        <v>110</v>
      </c>
      <c r="R181" s="7">
        <v>2</v>
      </c>
      <c r="S181" s="7">
        <v>3</v>
      </c>
      <c r="T181" s="7">
        <v>0</v>
      </c>
      <c r="U181" s="5">
        <v>1</v>
      </c>
      <c r="Z181" s="8"/>
      <c r="AA181" s="8">
        <v>1</v>
      </c>
      <c r="AB181" s="8"/>
      <c r="AC181" s="8"/>
      <c r="AD181" s="8"/>
      <c r="AE181" s="8"/>
      <c r="AO181" s="7">
        <v>1</v>
      </c>
      <c r="AP181" s="7">
        <f t="shared" si="32"/>
        <v>0.03</v>
      </c>
      <c r="AQ181" s="7">
        <f t="shared" si="23"/>
        <v>100</v>
      </c>
      <c r="AR181" s="7">
        <f t="shared" si="24"/>
        <v>0</v>
      </c>
      <c r="AS181" s="7">
        <f t="shared" si="25"/>
        <v>1</v>
      </c>
      <c r="AT181" s="7">
        <f t="shared" si="26"/>
        <v>0</v>
      </c>
      <c r="AU181" s="7">
        <f t="shared" si="27"/>
        <v>0</v>
      </c>
      <c r="AV181" s="7">
        <f t="shared" si="28"/>
        <v>0</v>
      </c>
      <c r="AW181" s="7">
        <f t="shared" si="29"/>
        <v>0</v>
      </c>
      <c r="AX181" s="7">
        <f t="shared" si="30"/>
        <v>100</v>
      </c>
      <c r="AY181" s="7">
        <v>0</v>
      </c>
      <c r="AZ181" s="7">
        <v>6</v>
      </c>
      <c r="BA181" s="5">
        <v>62</v>
      </c>
      <c r="BB181" s="7">
        <v>0</v>
      </c>
      <c r="BC181" s="7">
        <v>10</v>
      </c>
      <c r="BD181" s="7">
        <f t="shared" si="31"/>
        <v>10</v>
      </c>
      <c r="BE181" s="5">
        <v>0</v>
      </c>
      <c r="BF181" s="5">
        <v>0</v>
      </c>
      <c r="BG181" s="5">
        <v>600</v>
      </c>
      <c r="BH181" s="7">
        <v>30000</v>
      </c>
      <c r="BI181" s="7">
        <v>400</v>
      </c>
      <c r="BJ181" s="7">
        <v>8</v>
      </c>
      <c r="CU181" s="5">
        <v>6</v>
      </c>
      <c r="CV181" s="5">
        <v>2</v>
      </c>
      <c r="CW181" s="5">
        <v>0</v>
      </c>
      <c r="CX181" s="7">
        <v>8</v>
      </c>
      <c r="CY181" s="5">
        <v>4</v>
      </c>
      <c r="DA181" s="5">
        <v>1</v>
      </c>
      <c r="DD181" s="5">
        <v>365</v>
      </c>
      <c r="DF181" s="5">
        <v>1</v>
      </c>
      <c r="DH181" s="5">
        <v>365</v>
      </c>
      <c r="DJ181" s="5">
        <v>1</v>
      </c>
      <c r="DL181" s="5">
        <v>365</v>
      </c>
      <c r="DM181" s="5">
        <v>1</v>
      </c>
      <c r="DQ181" s="5">
        <v>1</v>
      </c>
      <c r="DT181" s="5">
        <v>3</v>
      </c>
      <c r="DU181" s="5">
        <v>1</v>
      </c>
      <c r="DX181" s="7">
        <v>650</v>
      </c>
      <c r="DY181" s="7">
        <v>500</v>
      </c>
      <c r="EC181" s="5" t="s">
        <v>111</v>
      </c>
      <c r="ED181" s="5" t="s">
        <v>111</v>
      </c>
      <c r="EE181" s="5">
        <v>0</v>
      </c>
      <c r="EF181" s="5">
        <v>0</v>
      </c>
      <c r="EG181" s="5" t="s">
        <v>111</v>
      </c>
      <c r="EH181" s="5" t="s">
        <v>111</v>
      </c>
      <c r="EI181" s="5" t="s">
        <v>111</v>
      </c>
      <c r="EJ181" s="5" t="s">
        <v>114</v>
      </c>
      <c r="EK181" s="5">
        <v>13</v>
      </c>
      <c r="EL181" s="5">
        <v>26</v>
      </c>
    </row>
    <row r="182" spans="1:142" x14ac:dyDescent="0.25">
      <c r="A182" s="5">
        <v>60</v>
      </c>
      <c r="B182" s="5" t="s">
        <v>479</v>
      </c>
      <c r="C182" s="5" t="s">
        <v>480</v>
      </c>
      <c r="D182" s="6"/>
      <c r="E182" s="6"/>
      <c r="F182" s="47"/>
      <c r="G182" s="5">
        <v>0</v>
      </c>
      <c r="H182" s="5">
        <v>34</v>
      </c>
      <c r="I182" s="5">
        <v>4</v>
      </c>
      <c r="J182" s="5">
        <v>1</v>
      </c>
      <c r="K182" s="1">
        <v>0</v>
      </c>
      <c r="L182" s="1">
        <f t="shared" si="22"/>
        <v>0</v>
      </c>
      <c r="M182" s="7" t="s">
        <v>107</v>
      </c>
      <c r="N182" s="7" t="s">
        <v>120</v>
      </c>
      <c r="O182" s="5" t="s">
        <v>340</v>
      </c>
      <c r="P182" s="7" t="s">
        <v>110</v>
      </c>
      <c r="Q182" s="7" t="s">
        <v>110</v>
      </c>
      <c r="R182" s="7">
        <v>1</v>
      </c>
      <c r="S182" s="7">
        <v>4</v>
      </c>
      <c r="T182" s="7">
        <v>0</v>
      </c>
      <c r="W182" s="5">
        <v>1</v>
      </c>
      <c r="Z182" s="8"/>
      <c r="AA182" s="8">
        <v>3</v>
      </c>
      <c r="AB182" s="8"/>
      <c r="AC182" s="8"/>
      <c r="AD182" s="8">
        <v>1</v>
      </c>
      <c r="AE182" s="8">
        <v>1</v>
      </c>
      <c r="AO182" s="7">
        <v>5</v>
      </c>
      <c r="AP182" s="7">
        <f t="shared" si="32"/>
        <v>0.29000000000000004</v>
      </c>
      <c r="AQ182" s="7">
        <f t="shared" si="23"/>
        <v>31.034482758620683</v>
      </c>
      <c r="AR182" s="7">
        <f t="shared" si="24"/>
        <v>0</v>
      </c>
      <c r="AS182" s="7">
        <f t="shared" si="25"/>
        <v>0.6</v>
      </c>
      <c r="AT182" s="7">
        <f t="shared" si="26"/>
        <v>0</v>
      </c>
      <c r="AU182" s="7">
        <f t="shared" si="27"/>
        <v>0</v>
      </c>
      <c r="AV182" s="7">
        <f t="shared" si="28"/>
        <v>10.344827586206895</v>
      </c>
      <c r="AW182" s="7">
        <f t="shared" si="29"/>
        <v>10.344827586206895</v>
      </c>
      <c r="AX182" s="7">
        <f t="shared" si="30"/>
        <v>41.37931034482758</v>
      </c>
      <c r="AY182" s="7">
        <v>0</v>
      </c>
      <c r="AZ182" s="7">
        <v>12.4</v>
      </c>
      <c r="BA182" s="5">
        <v>26</v>
      </c>
      <c r="BB182" s="7">
        <v>1.5</v>
      </c>
      <c r="BC182" s="7">
        <v>77</v>
      </c>
      <c r="BD182" s="7">
        <f t="shared" si="31"/>
        <v>15.4</v>
      </c>
      <c r="BE182" s="5">
        <v>1</v>
      </c>
      <c r="BF182" s="5">
        <v>400</v>
      </c>
      <c r="BG182" s="5">
        <v>4300</v>
      </c>
      <c r="BH182" s="7">
        <v>30000</v>
      </c>
      <c r="BI182" s="7">
        <v>2600</v>
      </c>
      <c r="BJ182" s="7">
        <v>52</v>
      </c>
      <c r="BM182" s="5">
        <v>1</v>
      </c>
      <c r="BP182" s="5">
        <v>1</v>
      </c>
      <c r="BT182" s="5">
        <v>3</v>
      </c>
      <c r="CU182" s="5">
        <v>2</v>
      </c>
      <c r="CV182" s="5">
        <v>2</v>
      </c>
      <c r="CW182" s="5">
        <v>0</v>
      </c>
      <c r="CX182" s="7">
        <v>8</v>
      </c>
      <c r="CY182" s="5">
        <v>4</v>
      </c>
      <c r="DA182" s="5">
        <v>1</v>
      </c>
      <c r="DD182" s="5">
        <v>365</v>
      </c>
      <c r="DF182" s="5">
        <v>3</v>
      </c>
      <c r="DH182" s="5">
        <v>365</v>
      </c>
      <c r="DJ182" s="5">
        <v>1</v>
      </c>
      <c r="DL182" s="5">
        <v>365</v>
      </c>
      <c r="DM182" s="5">
        <v>1</v>
      </c>
      <c r="DQ182" s="5">
        <v>1</v>
      </c>
      <c r="DT182" s="5">
        <v>3</v>
      </c>
      <c r="DU182" s="5">
        <v>1</v>
      </c>
      <c r="DX182" s="7">
        <v>1250</v>
      </c>
      <c r="DY182" s="7">
        <v>1100</v>
      </c>
      <c r="EC182" s="5" t="s">
        <v>111</v>
      </c>
      <c r="ED182" s="5" t="s">
        <v>111</v>
      </c>
      <c r="EE182" s="5">
        <v>0</v>
      </c>
      <c r="EF182" s="5">
        <v>0</v>
      </c>
      <c r="EG182" s="5" t="s">
        <v>111</v>
      </c>
      <c r="EH182" s="5" t="s">
        <v>111</v>
      </c>
      <c r="EI182" s="5" t="s">
        <v>111</v>
      </c>
      <c r="EJ182" s="5" t="s">
        <v>114</v>
      </c>
      <c r="EK182" s="5">
        <v>14</v>
      </c>
      <c r="EL182" s="5">
        <v>27</v>
      </c>
    </row>
    <row r="183" spans="1:142" x14ac:dyDescent="0.25">
      <c r="A183" s="5">
        <v>61</v>
      </c>
      <c r="B183" s="5" t="s">
        <v>481</v>
      </c>
      <c r="C183" s="5" t="s">
        <v>482</v>
      </c>
      <c r="D183" s="6"/>
      <c r="E183" s="6"/>
      <c r="F183" s="47"/>
      <c r="G183" s="5">
        <v>0</v>
      </c>
      <c r="H183" s="5">
        <v>48</v>
      </c>
      <c r="I183" s="5">
        <v>11</v>
      </c>
      <c r="J183" s="5">
        <v>7</v>
      </c>
      <c r="K183" s="1">
        <v>0</v>
      </c>
      <c r="L183" s="1">
        <f t="shared" si="22"/>
        <v>0</v>
      </c>
      <c r="M183" s="7" t="s">
        <v>140</v>
      </c>
      <c r="N183" s="7" t="s">
        <v>120</v>
      </c>
      <c r="O183" s="5" t="s">
        <v>340</v>
      </c>
      <c r="P183" s="7" t="s">
        <v>110</v>
      </c>
      <c r="Q183" s="7" t="s">
        <v>110</v>
      </c>
      <c r="R183" s="7">
        <v>1</v>
      </c>
      <c r="S183" s="7">
        <v>4</v>
      </c>
      <c r="T183" s="7">
        <v>0</v>
      </c>
      <c r="W183" s="5">
        <v>2</v>
      </c>
      <c r="Z183" s="8">
        <v>1</v>
      </c>
      <c r="AA183" s="8">
        <v>1</v>
      </c>
      <c r="AB183" s="8"/>
      <c r="AC183" s="8"/>
      <c r="AD183" s="8"/>
      <c r="AE183" s="8">
        <v>1</v>
      </c>
      <c r="AO183" s="7">
        <v>3</v>
      </c>
      <c r="AP183" s="7">
        <f t="shared" si="32"/>
        <v>0.16</v>
      </c>
      <c r="AQ183" s="7">
        <f t="shared" si="23"/>
        <v>37.5</v>
      </c>
      <c r="AR183" s="7">
        <f t="shared" si="24"/>
        <v>0.33333333333333331</v>
      </c>
      <c r="AS183" s="7">
        <f t="shared" si="25"/>
        <v>0.33333333333333331</v>
      </c>
      <c r="AT183" s="7">
        <f t="shared" si="26"/>
        <v>0</v>
      </c>
      <c r="AU183" s="7">
        <f t="shared" si="27"/>
        <v>0</v>
      </c>
      <c r="AV183" s="7">
        <f t="shared" si="28"/>
        <v>0</v>
      </c>
      <c r="AW183" s="7">
        <f t="shared" si="29"/>
        <v>18.75</v>
      </c>
      <c r="AX183" s="7">
        <f t="shared" si="30"/>
        <v>37.5</v>
      </c>
      <c r="AY183" s="7">
        <v>0</v>
      </c>
      <c r="AZ183" s="7">
        <v>8.6666666669999994</v>
      </c>
      <c r="BA183" s="5">
        <v>6</v>
      </c>
      <c r="BB183" s="7">
        <v>1</v>
      </c>
      <c r="BC183" s="7">
        <v>32</v>
      </c>
      <c r="BD183" s="7">
        <f t="shared" si="31"/>
        <v>10.666666666666666</v>
      </c>
      <c r="BE183" s="5">
        <v>1</v>
      </c>
      <c r="BF183" s="5">
        <v>250</v>
      </c>
      <c r="BG183" s="5">
        <v>1800</v>
      </c>
      <c r="BH183" s="7">
        <v>30000</v>
      </c>
      <c r="BI183" s="7">
        <v>1100</v>
      </c>
      <c r="BJ183" s="7">
        <v>22</v>
      </c>
      <c r="BP183" s="5">
        <v>1</v>
      </c>
      <c r="BQ183" s="5">
        <v>1</v>
      </c>
      <c r="BT183" s="5">
        <v>1</v>
      </c>
      <c r="CU183" s="5">
        <v>2</v>
      </c>
      <c r="CV183" s="5">
        <v>2</v>
      </c>
      <c r="CW183" s="5">
        <v>0</v>
      </c>
      <c r="CX183" s="7">
        <v>8</v>
      </c>
      <c r="CY183" s="5">
        <v>4</v>
      </c>
      <c r="DA183" s="5">
        <v>1</v>
      </c>
      <c r="DD183" s="5">
        <v>365</v>
      </c>
      <c r="DF183" s="5">
        <v>3</v>
      </c>
      <c r="DH183" s="5">
        <v>365</v>
      </c>
      <c r="DJ183" s="5">
        <v>1</v>
      </c>
      <c r="DL183" s="5">
        <v>365</v>
      </c>
      <c r="DM183" s="5">
        <v>1</v>
      </c>
      <c r="DQ183" s="5">
        <v>1</v>
      </c>
      <c r="DT183" s="5">
        <v>3</v>
      </c>
      <c r="DU183" s="5">
        <v>1</v>
      </c>
      <c r="DX183" s="7">
        <v>950</v>
      </c>
      <c r="DY183" s="7">
        <v>900</v>
      </c>
      <c r="EC183" s="5" t="s">
        <v>111</v>
      </c>
      <c r="ED183" s="5" t="s">
        <v>111</v>
      </c>
      <c r="EE183" s="5">
        <v>0</v>
      </c>
      <c r="EF183" s="5">
        <v>0</v>
      </c>
      <c r="EG183" s="5" t="s">
        <v>111</v>
      </c>
      <c r="EH183" s="5" t="s">
        <v>111</v>
      </c>
      <c r="EI183" s="5" t="s">
        <v>111</v>
      </c>
      <c r="EJ183" s="5" t="s">
        <v>114</v>
      </c>
      <c r="EK183" s="5">
        <v>13</v>
      </c>
      <c r="EL183" s="5">
        <v>27</v>
      </c>
    </row>
    <row r="184" spans="1:142" x14ac:dyDescent="0.25">
      <c r="A184" s="5">
        <v>62</v>
      </c>
      <c r="B184" s="5" t="s">
        <v>483</v>
      </c>
      <c r="C184" s="5" t="s">
        <v>484</v>
      </c>
      <c r="D184" s="6"/>
      <c r="E184" s="6"/>
      <c r="F184" s="47"/>
      <c r="G184" s="5">
        <v>0</v>
      </c>
      <c r="H184" s="5">
        <v>31</v>
      </c>
      <c r="I184" s="5">
        <v>5</v>
      </c>
      <c r="J184" s="5">
        <v>3</v>
      </c>
      <c r="K184" s="1">
        <v>0</v>
      </c>
      <c r="L184" s="1">
        <f t="shared" si="22"/>
        <v>0</v>
      </c>
      <c r="M184" s="7" t="s">
        <v>107</v>
      </c>
      <c r="N184" s="7" t="s">
        <v>120</v>
      </c>
      <c r="O184" s="5" t="s">
        <v>340</v>
      </c>
      <c r="P184" s="7" t="s">
        <v>110</v>
      </c>
      <c r="Q184" s="7" t="s">
        <v>110</v>
      </c>
      <c r="R184" s="7">
        <v>2</v>
      </c>
      <c r="S184" s="7">
        <v>5</v>
      </c>
      <c r="T184" s="7">
        <v>0</v>
      </c>
      <c r="Z184" s="8"/>
      <c r="AA184" s="8">
        <v>1</v>
      </c>
      <c r="AB184" s="8"/>
      <c r="AC184" s="8"/>
      <c r="AD184" s="8"/>
      <c r="AE184" s="8"/>
      <c r="AO184" s="7">
        <v>1</v>
      </c>
      <c r="AP184" s="7">
        <f t="shared" si="32"/>
        <v>0.03</v>
      </c>
      <c r="AQ184" s="7">
        <f t="shared" si="23"/>
        <v>100</v>
      </c>
      <c r="AR184" s="7">
        <f t="shared" si="24"/>
        <v>0</v>
      </c>
      <c r="AS184" s="7">
        <f t="shared" si="25"/>
        <v>1</v>
      </c>
      <c r="AT184" s="7">
        <f t="shared" si="26"/>
        <v>0</v>
      </c>
      <c r="AU184" s="7">
        <f t="shared" si="27"/>
        <v>0</v>
      </c>
      <c r="AV184" s="7">
        <f t="shared" si="28"/>
        <v>0</v>
      </c>
      <c r="AW184" s="7">
        <f t="shared" si="29"/>
        <v>0</v>
      </c>
      <c r="AX184" s="7">
        <f t="shared" si="30"/>
        <v>100</v>
      </c>
      <c r="AY184" s="7">
        <v>0</v>
      </c>
      <c r="AZ184" s="7">
        <v>6</v>
      </c>
      <c r="BA184" s="5">
        <v>23</v>
      </c>
      <c r="BB184" s="7">
        <v>0</v>
      </c>
      <c r="BC184" s="7">
        <v>10</v>
      </c>
      <c r="BD184" s="7">
        <f t="shared" si="31"/>
        <v>10</v>
      </c>
      <c r="BE184" s="5">
        <v>0</v>
      </c>
      <c r="BF184" s="5">
        <v>0</v>
      </c>
      <c r="BG184" s="5">
        <v>600</v>
      </c>
      <c r="BH184" s="7">
        <v>15000</v>
      </c>
      <c r="BI184" s="7">
        <v>400</v>
      </c>
      <c r="BJ184" s="7">
        <v>8</v>
      </c>
      <c r="BZ184" s="5">
        <v>1</v>
      </c>
      <c r="CU184" s="5">
        <v>6</v>
      </c>
      <c r="CV184" s="5">
        <v>2</v>
      </c>
      <c r="CW184" s="5">
        <v>0</v>
      </c>
      <c r="CX184" s="7">
        <v>8</v>
      </c>
      <c r="CY184" s="5">
        <v>2</v>
      </c>
      <c r="DA184" s="5">
        <v>1</v>
      </c>
      <c r="DC184" s="5">
        <v>1</v>
      </c>
      <c r="DD184" s="5">
        <v>365</v>
      </c>
      <c r="DF184" s="5">
        <v>2</v>
      </c>
      <c r="DG184" s="5">
        <v>1</v>
      </c>
      <c r="DH184" s="5">
        <v>365</v>
      </c>
      <c r="DJ184" s="5">
        <v>1</v>
      </c>
      <c r="DK184" s="5">
        <v>1</v>
      </c>
      <c r="DL184" s="5">
        <v>365</v>
      </c>
      <c r="DM184" s="5">
        <v>1</v>
      </c>
      <c r="DO184" s="5">
        <v>1</v>
      </c>
      <c r="DQ184" s="5">
        <v>1</v>
      </c>
      <c r="DS184" s="5">
        <v>1</v>
      </c>
      <c r="DT184" s="5">
        <v>3</v>
      </c>
      <c r="DU184" s="5">
        <v>2</v>
      </c>
      <c r="DX184" s="7">
        <v>650</v>
      </c>
      <c r="DY184" s="7">
        <v>600</v>
      </c>
      <c r="EC184" s="5" t="s">
        <v>111</v>
      </c>
      <c r="ED184" s="5" t="s">
        <v>111</v>
      </c>
      <c r="EE184" s="5">
        <v>0</v>
      </c>
      <c r="EF184" s="5">
        <v>0</v>
      </c>
      <c r="EG184" s="5" t="s">
        <v>111</v>
      </c>
      <c r="EH184" s="5" t="s">
        <v>111</v>
      </c>
      <c r="EI184" s="5" t="s">
        <v>111</v>
      </c>
      <c r="EJ184" s="5" t="s">
        <v>114</v>
      </c>
      <c r="EK184" s="5">
        <v>13</v>
      </c>
      <c r="EL184" s="5">
        <v>26</v>
      </c>
    </row>
    <row r="185" spans="1:142" x14ac:dyDescent="0.25">
      <c r="A185" s="5">
        <v>63</v>
      </c>
      <c r="B185" s="5" t="s">
        <v>485</v>
      </c>
      <c r="C185" s="5" t="s">
        <v>486</v>
      </c>
      <c r="D185" s="6"/>
      <c r="E185" s="6"/>
      <c r="F185" s="47"/>
      <c r="G185" s="5">
        <v>0</v>
      </c>
      <c r="H185" s="5">
        <v>26</v>
      </c>
      <c r="I185" s="5">
        <v>1</v>
      </c>
      <c r="J185" s="5">
        <v>0</v>
      </c>
      <c r="K185" s="1">
        <v>5</v>
      </c>
      <c r="L185" s="1">
        <f t="shared" si="22"/>
        <v>1</v>
      </c>
      <c r="M185" s="7" t="s">
        <v>140</v>
      </c>
      <c r="N185" s="7" t="s">
        <v>174</v>
      </c>
      <c r="O185" s="5" t="s">
        <v>340</v>
      </c>
      <c r="P185" s="7" t="s">
        <v>110</v>
      </c>
      <c r="Q185" s="7" t="s">
        <v>110</v>
      </c>
      <c r="R185" s="7">
        <v>1</v>
      </c>
      <c r="S185" s="7">
        <v>4</v>
      </c>
      <c r="T185" s="7">
        <v>3.3462000000000001</v>
      </c>
      <c r="Z185" s="8">
        <v>1</v>
      </c>
      <c r="AA185" s="8"/>
      <c r="AB185" s="8"/>
      <c r="AC185" s="8"/>
      <c r="AD185" s="8"/>
      <c r="AE185" s="8">
        <v>1</v>
      </c>
      <c r="AO185" s="7">
        <v>2</v>
      </c>
      <c r="AP185" s="7">
        <f t="shared" si="32"/>
        <v>0.13</v>
      </c>
      <c r="AQ185" s="7">
        <f t="shared" si="23"/>
        <v>23.076923076923077</v>
      </c>
      <c r="AR185" s="7">
        <f t="shared" si="24"/>
        <v>0.5</v>
      </c>
      <c r="AS185" s="7">
        <f t="shared" si="25"/>
        <v>0</v>
      </c>
      <c r="AT185" s="7">
        <f t="shared" si="26"/>
        <v>0</v>
      </c>
      <c r="AU185" s="7">
        <f t="shared" si="27"/>
        <v>0</v>
      </c>
      <c r="AV185" s="7">
        <f t="shared" si="28"/>
        <v>0</v>
      </c>
      <c r="AW185" s="7">
        <f t="shared" si="29"/>
        <v>23.076923076923077</v>
      </c>
      <c r="AX185" s="7">
        <f t="shared" si="30"/>
        <v>23.076923076923077</v>
      </c>
      <c r="AY185" s="7">
        <v>0</v>
      </c>
      <c r="AZ185" s="7">
        <v>11.5</v>
      </c>
      <c r="BA185" s="5">
        <v>9</v>
      </c>
      <c r="BB185" s="7">
        <v>0.5</v>
      </c>
      <c r="BC185" s="7">
        <v>29</v>
      </c>
      <c r="BD185" s="7">
        <f t="shared" si="31"/>
        <v>14.5</v>
      </c>
      <c r="BE185" s="5">
        <v>1</v>
      </c>
      <c r="BF185" s="5">
        <v>300</v>
      </c>
      <c r="BG185" s="5">
        <v>1700</v>
      </c>
      <c r="BH185" s="7">
        <v>15000</v>
      </c>
      <c r="BI185" s="7">
        <v>1000</v>
      </c>
      <c r="BJ185" s="7">
        <v>20</v>
      </c>
      <c r="BP185" s="5">
        <v>1</v>
      </c>
      <c r="BT185" s="5">
        <v>1</v>
      </c>
      <c r="CU185" s="5">
        <v>6</v>
      </c>
      <c r="CV185" s="5">
        <v>2</v>
      </c>
      <c r="CW185" s="5">
        <v>0</v>
      </c>
      <c r="CX185" s="7">
        <v>8</v>
      </c>
      <c r="CY185" s="5">
        <v>2</v>
      </c>
      <c r="DA185" s="5">
        <v>1</v>
      </c>
      <c r="DD185" s="5">
        <v>365</v>
      </c>
      <c r="DF185" s="5">
        <v>1</v>
      </c>
      <c r="DH185" s="5">
        <v>365</v>
      </c>
      <c r="DJ185" s="5">
        <v>1</v>
      </c>
      <c r="DL185" s="5">
        <v>365</v>
      </c>
      <c r="DM185" s="5">
        <v>1</v>
      </c>
      <c r="DQ185" s="5">
        <v>1</v>
      </c>
      <c r="DT185" s="5">
        <v>3</v>
      </c>
      <c r="DU185" s="5">
        <v>3</v>
      </c>
      <c r="DV185" s="7">
        <v>134000</v>
      </c>
      <c r="DX185" s="7">
        <v>800</v>
      </c>
      <c r="DY185" s="7">
        <v>800</v>
      </c>
      <c r="EC185" s="5" t="s">
        <v>111</v>
      </c>
      <c r="ED185" s="5" t="s">
        <v>111</v>
      </c>
      <c r="EE185" s="5">
        <v>0</v>
      </c>
      <c r="EF185" s="5">
        <v>0</v>
      </c>
      <c r="EG185" s="5" t="s">
        <v>111</v>
      </c>
      <c r="EH185" s="5" t="s">
        <v>111</v>
      </c>
      <c r="EI185" s="5" t="s">
        <v>111</v>
      </c>
      <c r="EJ185" s="5" t="s">
        <v>114</v>
      </c>
      <c r="EK185" s="5">
        <v>14</v>
      </c>
      <c r="EL185" s="5">
        <v>27</v>
      </c>
    </row>
    <row r="186" spans="1:142" x14ac:dyDescent="0.25">
      <c r="A186" s="5">
        <v>64</v>
      </c>
      <c r="B186" s="5" t="s">
        <v>487</v>
      </c>
      <c r="C186" s="5" t="s">
        <v>488</v>
      </c>
      <c r="D186" s="6"/>
      <c r="E186" s="6"/>
      <c r="F186" s="47"/>
      <c r="G186" s="5">
        <v>0</v>
      </c>
      <c r="H186" s="5">
        <v>35</v>
      </c>
      <c r="I186" s="5">
        <v>7</v>
      </c>
      <c r="J186" s="5">
        <v>4</v>
      </c>
      <c r="K186" s="1">
        <v>10</v>
      </c>
      <c r="L186" s="1">
        <f t="shared" si="22"/>
        <v>3</v>
      </c>
      <c r="M186" s="7" t="s">
        <v>107</v>
      </c>
      <c r="N186" s="7" t="s">
        <v>463</v>
      </c>
      <c r="O186" s="5" t="s">
        <v>407</v>
      </c>
      <c r="P186" s="7" t="s">
        <v>110</v>
      </c>
      <c r="Q186" s="7" t="s">
        <v>110</v>
      </c>
      <c r="R186" s="7">
        <v>1</v>
      </c>
      <c r="S186" s="7">
        <v>6</v>
      </c>
      <c r="T186" s="7">
        <v>0.49923000000000001</v>
      </c>
      <c r="U186" s="5">
        <v>1</v>
      </c>
      <c r="Z186" s="8"/>
      <c r="AA186" s="8"/>
      <c r="AB186" s="8">
        <v>1</v>
      </c>
      <c r="AC186" s="8"/>
      <c r="AD186" s="8"/>
      <c r="AE186" s="8"/>
      <c r="AO186" s="7">
        <v>1</v>
      </c>
      <c r="AP186" s="7">
        <f t="shared" si="32"/>
        <v>0.03</v>
      </c>
      <c r="AQ186" s="7">
        <f t="shared" si="23"/>
        <v>0</v>
      </c>
      <c r="AR186" s="7">
        <f t="shared" si="24"/>
        <v>0</v>
      </c>
      <c r="AS186" s="7">
        <f t="shared" si="25"/>
        <v>0</v>
      </c>
      <c r="AT186" s="7">
        <f t="shared" si="26"/>
        <v>100</v>
      </c>
      <c r="AU186" s="7">
        <f t="shared" si="27"/>
        <v>0</v>
      </c>
      <c r="AV186" s="7">
        <f t="shared" si="28"/>
        <v>0</v>
      </c>
      <c r="AW186" s="7">
        <f t="shared" si="29"/>
        <v>0</v>
      </c>
      <c r="AX186" s="7">
        <f t="shared" si="30"/>
        <v>0</v>
      </c>
      <c r="AY186" s="7">
        <v>0</v>
      </c>
      <c r="AZ186" s="7">
        <v>9</v>
      </c>
      <c r="BA186" s="5">
        <v>40</v>
      </c>
      <c r="BB186" s="7">
        <v>0</v>
      </c>
      <c r="BC186" s="7">
        <v>10</v>
      </c>
      <c r="BD186" s="7">
        <f t="shared" si="31"/>
        <v>10</v>
      </c>
      <c r="BE186" s="5">
        <v>0</v>
      </c>
      <c r="BF186" s="5">
        <v>0</v>
      </c>
      <c r="BG186" s="5">
        <v>600</v>
      </c>
      <c r="BH186" s="7">
        <v>15000</v>
      </c>
      <c r="BI186" s="7">
        <v>400</v>
      </c>
      <c r="BJ186" s="7">
        <v>8</v>
      </c>
      <c r="BP186" s="5">
        <v>1</v>
      </c>
      <c r="BR186" s="5">
        <v>1</v>
      </c>
      <c r="CH186" s="5">
        <v>1</v>
      </c>
      <c r="CU186" s="5">
        <v>6</v>
      </c>
      <c r="CV186" s="5">
        <v>2</v>
      </c>
      <c r="CW186" s="5">
        <v>0</v>
      </c>
      <c r="CX186" s="7">
        <v>8</v>
      </c>
      <c r="CY186" s="5">
        <v>2</v>
      </c>
      <c r="DA186" s="5">
        <v>1</v>
      </c>
      <c r="DD186" s="5">
        <v>365</v>
      </c>
      <c r="DF186" s="5">
        <v>1</v>
      </c>
      <c r="DH186" s="5">
        <v>365</v>
      </c>
      <c r="DJ186" s="5">
        <v>1</v>
      </c>
      <c r="DL186" s="5">
        <v>365</v>
      </c>
      <c r="DM186" s="5">
        <v>1</v>
      </c>
      <c r="DQ186" s="5">
        <v>1</v>
      </c>
      <c r="DT186" s="5">
        <v>3</v>
      </c>
      <c r="DU186" s="5">
        <v>2</v>
      </c>
      <c r="DX186" s="7">
        <v>650</v>
      </c>
      <c r="DY186" s="7">
        <v>900</v>
      </c>
      <c r="EC186" s="5" t="s">
        <v>111</v>
      </c>
      <c r="ED186" s="5" t="s">
        <v>111</v>
      </c>
      <c r="EE186" s="5">
        <v>0</v>
      </c>
      <c r="EF186" s="5">
        <v>0</v>
      </c>
      <c r="EG186" s="5" t="s">
        <v>111</v>
      </c>
      <c r="EH186" s="5" t="s">
        <v>111</v>
      </c>
      <c r="EI186" s="5" t="s">
        <v>111</v>
      </c>
      <c r="EJ186" s="5" t="s">
        <v>114</v>
      </c>
      <c r="EK186" s="5">
        <v>13</v>
      </c>
      <c r="EL186" s="5">
        <v>26</v>
      </c>
    </row>
    <row r="187" spans="1:142" x14ac:dyDescent="0.25">
      <c r="A187" s="5">
        <v>65</v>
      </c>
      <c r="B187" s="5" t="s">
        <v>489</v>
      </c>
      <c r="C187" s="5" t="s">
        <v>490</v>
      </c>
      <c r="D187" s="6"/>
      <c r="E187" s="6"/>
      <c r="F187" s="47"/>
      <c r="G187" s="5">
        <v>0</v>
      </c>
      <c r="H187" s="5">
        <v>55</v>
      </c>
      <c r="I187" s="5">
        <v>13</v>
      </c>
      <c r="J187" s="5">
        <v>9</v>
      </c>
      <c r="K187" s="1">
        <v>0</v>
      </c>
      <c r="L187" s="1">
        <f t="shared" si="22"/>
        <v>0</v>
      </c>
      <c r="M187" s="7" t="s">
        <v>140</v>
      </c>
      <c r="N187" s="7" t="s">
        <v>420</v>
      </c>
      <c r="O187" s="5" t="s">
        <v>340</v>
      </c>
      <c r="P187" s="7" t="s">
        <v>110</v>
      </c>
      <c r="Q187" s="7" t="s">
        <v>110</v>
      </c>
      <c r="R187" s="7">
        <v>3</v>
      </c>
      <c r="S187" s="7">
        <v>2</v>
      </c>
      <c r="T187" s="7">
        <v>0</v>
      </c>
      <c r="Z187" s="8"/>
      <c r="AA187" s="8"/>
      <c r="AB187" s="8">
        <v>1</v>
      </c>
      <c r="AC187" s="8"/>
      <c r="AD187" s="8">
        <v>1</v>
      </c>
      <c r="AE187" s="8"/>
      <c r="AO187" s="7">
        <v>2</v>
      </c>
      <c r="AP187" s="7">
        <f t="shared" si="32"/>
        <v>0.13</v>
      </c>
      <c r="AQ187" s="7">
        <f t="shared" si="23"/>
        <v>0</v>
      </c>
      <c r="AR187" s="7">
        <f t="shared" si="24"/>
        <v>0</v>
      </c>
      <c r="AS187" s="7">
        <f t="shared" si="25"/>
        <v>0</v>
      </c>
      <c r="AT187" s="7">
        <f t="shared" si="26"/>
        <v>23.076923076923077</v>
      </c>
      <c r="AU187" s="7">
        <f t="shared" si="27"/>
        <v>0</v>
      </c>
      <c r="AV187" s="7">
        <f t="shared" si="28"/>
        <v>23.076923076923077</v>
      </c>
      <c r="AW187" s="7">
        <f t="shared" si="29"/>
        <v>0</v>
      </c>
      <c r="AX187" s="7">
        <f t="shared" si="30"/>
        <v>0</v>
      </c>
      <c r="AY187" s="7">
        <v>0</v>
      </c>
      <c r="AZ187" s="7">
        <v>20</v>
      </c>
      <c r="BA187" s="5">
        <v>44</v>
      </c>
      <c r="BB187" s="7">
        <v>0</v>
      </c>
      <c r="BC187" s="7">
        <v>47</v>
      </c>
      <c r="BD187" s="7">
        <f t="shared" si="31"/>
        <v>23.5</v>
      </c>
      <c r="BE187" s="5">
        <v>0</v>
      </c>
      <c r="BF187" s="5">
        <v>0</v>
      </c>
      <c r="BG187" s="5">
        <v>2600</v>
      </c>
      <c r="BH187" s="7">
        <v>30000</v>
      </c>
      <c r="BI187" s="7">
        <v>1600</v>
      </c>
      <c r="BJ187" s="7">
        <v>32</v>
      </c>
      <c r="BM187" s="5">
        <v>1</v>
      </c>
      <c r="BP187" s="5">
        <v>1</v>
      </c>
      <c r="BR187" s="5">
        <v>1</v>
      </c>
      <c r="CH187" s="5">
        <v>1</v>
      </c>
      <c r="CU187" s="5">
        <v>6</v>
      </c>
      <c r="CV187" s="5">
        <v>2</v>
      </c>
      <c r="CW187" s="5">
        <v>0</v>
      </c>
      <c r="CX187" s="7">
        <v>8</v>
      </c>
      <c r="CY187" s="5">
        <v>4</v>
      </c>
      <c r="DA187" s="5">
        <v>1</v>
      </c>
      <c r="DC187" s="5">
        <v>1</v>
      </c>
      <c r="DD187" s="5">
        <v>365</v>
      </c>
      <c r="DF187" s="5">
        <v>1</v>
      </c>
      <c r="DG187" s="5">
        <v>1</v>
      </c>
      <c r="DH187" s="5">
        <v>365</v>
      </c>
      <c r="DJ187" s="5">
        <v>1</v>
      </c>
      <c r="DK187" s="5">
        <v>1</v>
      </c>
      <c r="DL187" s="5">
        <v>365</v>
      </c>
      <c r="DM187" s="5">
        <v>1</v>
      </c>
      <c r="DO187" s="5">
        <v>1</v>
      </c>
      <c r="DQ187" s="5">
        <v>1</v>
      </c>
      <c r="DS187" s="5">
        <v>1</v>
      </c>
      <c r="DT187" s="5">
        <v>3</v>
      </c>
      <c r="DU187" s="5">
        <v>1</v>
      </c>
      <c r="DX187" s="7">
        <v>800</v>
      </c>
      <c r="DY187" s="7">
        <v>500</v>
      </c>
      <c r="EC187" s="5" t="s">
        <v>111</v>
      </c>
      <c r="ED187" s="5" t="s">
        <v>111</v>
      </c>
      <c r="EE187" s="5">
        <v>0</v>
      </c>
      <c r="EF187" s="5">
        <v>0</v>
      </c>
      <c r="EG187" s="5" t="s">
        <v>111</v>
      </c>
      <c r="EH187" s="5" t="s">
        <v>111</v>
      </c>
      <c r="EI187" s="5" t="s">
        <v>111</v>
      </c>
      <c r="EJ187" s="5" t="s">
        <v>114</v>
      </c>
      <c r="EK187" s="5">
        <v>13</v>
      </c>
      <c r="EL187" s="5">
        <v>26</v>
      </c>
    </row>
    <row r="188" spans="1:142" x14ac:dyDescent="0.25">
      <c r="A188" s="5">
        <v>66</v>
      </c>
      <c r="B188" s="5" t="s">
        <v>491</v>
      </c>
      <c r="C188" s="5" t="s">
        <v>492</v>
      </c>
      <c r="D188" s="6"/>
      <c r="E188" s="6"/>
      <c r="F188" s="47"/>
      <c r="G188" s="5">
        <v>0</v>
      </c>
      <c r="H188" s="5">
        <v>29</v>
      </c>
      <c r="I188" s="5">
        <v>4</v>
      </c>
      <c r="J188" s="5">
        <v>1</v>
      </c>
      <c r="K188" s="1">
        <v>5</v>
      </c>
      <c r="L188" s="1">
        <f t="shared" si="22"/>
        <v>1</v>
      </c>
      <c r="M188" s="7" t="s">
        <v>107</v>
      </c>
      <c r="N188" s="7" t="s">
        <v>493</v>
      </c>
      <c r="O188" s="5" t="s">
        <v>340</v>
      </c>
      <c r="P188" s="7" t="s">
        <v>110</v>
      </c>
      <c r="Q188" s="7" t="s">
        <v>110</v>
      </c>
      <c r="R188" s="7">
        <v>2</v>
      </c>
      <c r="S188" s="7">
        <v>6</v>
      </c>
      <c r="T188" s="7">
        <v>0</v>
      </c>
      <c r="Z188" s="8">
        <v>1</v>
      </c>
      <c r="AA188" s="8"/>
      <c r="AB188" s="8"/>
      <c r="AC188" s="8"/>
      <c r="AD188" s="8">
        <v>1</v>
      </c>
      <c r="AE188" s="8">
        <v>1</v>
      </c>
      <c r="AO188" s="7">
        <v>3</v>
      </c>
      <c r="AP188" s="7">
        <f t="shared" si="32"/>
        <v>0.23</v>
      </c>
      <c r="AQ188" s="7">
        <f t="shared" si="23"/>
        <v>13.043478260869565</v>
      </c>
      <c r="AR188" s="7">
        <f t="shared" si="24"/>
        <v>0.33333333333333331</v>
      </c>
      <c r="AS188" s="7">
        <f t="shared" si="25"/>
        <v>0</v>
      </c>
      <c r="AT188" s="7">
        <f t="shared" si="26"/>
        <v>0</v>
      </c>
      <c r="AU188" s="7">
        <f t="shared" si="27"/>
        <v>0</v>
      </c>
      <c r="AV188" s="7">
        <f t="shared" si="28"/>
        <v>13.043478260869565</v>
      </c>
      <c r="AW188" s="7">
        <f t="shared" si="29"/>
        <v>13.043478260869565</v>
      </c>
      <c r="AX188" s="7">
        <f t="shared" si="30"/>
        <v>13.043478260869565</v>
      </c>
      <c r="AY188" s="7">
        <v>0</v>
      </c>
      <c r="AZ188" s="7">
        <v>14.66666667</v>
      </c>
      <c r="BA188" s="5">
        <v>19</v>
      </c>
      <c r="BB188" s="7">
        <v>0</v>
      </c>
      <c r="BC188" s="7">
        <v>56</v>
      </c>
      <c r="BD188" s="7">
        <f t="shared" si="31"/>
        <v>18.666666666666668</v>
      </c>
      <c r="BE188" s="5">
        <v>1</v>
      </c>
      <c r="BF188" s="5">
        <v>400</v>
      </c>
      <c r="BG188" s="5">
        <v>3100</v>
      </c>
      <c r="BH188" s="7">
        <v>30000</v>
      </c>
      <c r="BI188" s="7">
        <v>2000</v>
      </c>
      <c r="BJ188" s="7">
        <v>40</v>
      </c>
      <c r="CU188" s="5">
        <v>2</v>
      </c>
      <c r="CV188" s="5">
        <v>2</v>
      </c>
      <c r="CW188" s="5">
        <v>0</v>
      </c>
      <c r="CX188" s="7">
        <v>8</v>
      </c>
      <c r="CY188" s="5">
        <v>4</v>
      </c>
      <c r="DA188" s="5">
        <v>1</v>
      </c>
      <c r="DD188" s="5">
        <v>365</v>
      </c>
      <c r="DF188" s="5">
        <v>2</v>
      </c>
      <c r="DH188" s="5">
        <v>365</v>
      </c>
      <c r="DJ188" s="5">
        <v>1</v>
      </c>
      <c r="DL188" s="5">
        <v>365</v>
      </c>
      <c r="DM188" s="5">
        <v>1</v>
      </c>
      <c r="DQ188" s="5">
        <v>1</v>
      </c>
      <c r="DT188" s="5">
        <v>3</v>
      </c>
      <c r="DU188" s="5">
        <v>1</v>
      </c>
      <c r="DX188" s="7">
        <v>950</v>
      </c>
      <c r="DY188" s="7">
        <v>1000</v>
      </c>
      <c r="EC188" s="5" t="s">
        <v>111</v>
      </c>
      <c r="ED188" s="5" t="s">
        <v>111</v>
      </c>
      <c r="EE188" s="5">
        <v>0</v>
      </c>
      <c r="EF188" s="5">
        <v>0</v>
      </c>
      <c r="EG188" s="5" t="s">
        <v>111</v>
      </c>
      <c r="EH188" s="5" t="s">
        <v>111</v>
      </c>
      <c r="EI188" s="5" t="s">
        <v>111</v>
      </c>
      <c r="EJ188" s="5" t="s">
        <v>114</v>
      </c>
      <c r="EK188" s="5">
        <v>14</v>
      </c>
      <c r="EL188" s="5">
        <v>27</v>
      </c>
    </row>
    <row r="189" spans="1:142" x14ac:dyDescent="0.25">
      <c r="A189" s="5">
        <v>67</v>
      </c>
      <c r="B189" s="5" t="s">
        <v>494</v>
      </c>
      <c r="C189" s="5" t="s">
        <v>495</v>
      </c>
      <c r="D189" s="6"/>
      <c r="E189" s="6"/>
      <c r="F189" s="47"/>
      <c r="G189" s="5">
        <v>0</v>
      </c>
      <c r="H189" s="5">
        <v>60</v>
      </c>
      <c r="I189" s="5">
        <v>18</v>
      </c>
      <c r="J189" s="5">
        <v>13</v>
      </c>
      <c r="K189" s="1">
        <v>5</v>
      </c>
      <c r="L189" s="1">
        <f t="shared" si="22"/>
        <v>1</v>
      </c>
      <c r="M189" s="7" t="s">
        <v>140</v>
      </c>
      <c r="N189" s="7" t="s">
        <v>340</v>
      </c>
      <c r="O189" s="5" t="s">
        <v>340</v>
      </c>
      <c r="P189" s="7" t="s">
        <v>110</v>
      </c>
      <c r="Q189" s="7" t="s">
        <v>110</v>
      </c>
      <c r="R189" s="7">
        <v>2</v>
      </c>
      <c r="S189" s="7">
        <v>3</v>
      </c>
      <c r="T189" s="7">
        <v>0</v>
      </c>
      <c r="Z189" s="8">
        <v>1</v>
      </c>
      <c r="AA189" s="8"/>
      <c r="AB189" s="8"/>
      <c r="AC189" s="8"/>
      <c r="AD189" s="8">
        <v>1</v>
      </c>
      <c r="AE189" s="8"/>
      <c r="AO189" s="7">
        <v>2</v>
      </c>
      <c r="AP189" s="7">
        <f t="shared" si="32"/>
        <v>0.13</v>
      </c>
      <c r="AQ189" s="7">
        <f t="shared" si="23"/>
        <v>23.076923076923077</v>
      </c>
      <c r="AR189" s="7">
        <f t="shared" si="24"/>
        <v>0.5</v>
      </c>
      <c r="AS189" s="7">
        <f t="shared" si="25"/>
        <v>0</v>
      </c>
      <c r="AT189" s="7">
        <f t="shared" si="26"/>
        <v>0</v>
      </c>
      <c r="AU189" s="7">
        <f t="shared" si="27"/>
        <v>0</v>
      </c>
      <c r="AV189" s="7">
        <f t="shared" si="28"/>
        <v>23.076923076923077</v>
      </c>
      <c r="AW189" s="7">
        <f t="shared" si="29"/>
        <v>0</v>
      </c>
      <c r="AX189" s="7">
        <f t="shared" si="30"/>
        <v>0</v>
      </c>
      <c r="AY189" s="7">
        <v>0</v>
      </c>
      <c r="AZ189" s="7">
        <v>9.5</v>
      </c>
      <c r="BA189" s="5">
        <v>10</v>
      </c>
      <c r="BB189" s="7">
        <v>0</v>
      </c>
      <c r="BC189" s="7">
        <v>25</v>
      </c>
      <c r="BD189" s="7">
        <f t="shared" si="31"/>
        <v>12.5</v>
      </c>
      <c r="BE189" s="5">
        <v>0</v>
      </c>
      <c r="BF189" s="5">
        <v>0</v>
      </c>
      <c r="BG189" s="5">
        <v>1400</v>
      </c>
      <c r="BH189" s="7">
        <v>30000</v>
      </c>
      <c r="BI189" s="7">
        <v>900</v>
      </c>
      <c r="BJ189" s="7">
        <v>18</v>
      </c>
      <c r="BM189" s="5">
        <v>1</v>
      </c>
      <c r="BW189" s="5">
        <v>1</v>
      </c>
      <c r="CU189" s="5">
        <v>2</v>
      </c>
      <c r="CV189" s="5">
        <v>2</v>
      </c>
      <c r="CW189" s="5">
        <v>0</v>
      </c>
      <c r="CX189" s="7">
        <v>8</v>
      </c>
      <c r="CY189" s="5">
        <v>4</v>
      </c>
      <c r="DA189" s="5">
        <v>1</v>
      </c>
      <c r="DC189" s="5">
        <v>1</v>
      </c>
      <c r="DD189" s="5">
        <v>365</v>
      </c>
      <c r="DF189" s="5">
        <v>1</v>
      </c>
      <c r="DG189" s="5">
        <v>1</v>
      </c>
      <c r="DH189" s="5">
        <v>365</v>
      </c>
      <c r="DJ189" s="5">
        <v>1</v>
      </c>
      <c r="DK189" s="5">
        <v>1</v>
      </c>
      <c r="DL189" s="5">
        <v>365</v>
      </c>
      <c r="DM189" s="5">
        <v>1</v>
      </c>
      <c r="DO189" s="5">
        <v>1</v>
      </c>
      <c r="DQ189" s="5">
        <v>1</v>
      </c>
      <c r="DS189" s="5">
        <v>1</v>
      </c>
      <c r="DT189" s="5">
        <v>3</v>
      </c>
      <c r="DU189" s="5">
        <v>1</v>
      </c>
      <c r="DX189" s="7">
        <v>800</v>
      </c>
      <c r="DY189" s="7">
        <v>700</v>
      </c>
      <c r="EC189" s="5" t="s">
        <v>111</v>
      </c>
      <c r="ED189" s="5" t="s">
        <v>111</v>
      </c>
      <c r="EE189" s="5">
        <v>0</v>
      </c>
      <c r="EF189" s="5">
        <v>0</v>
      </c>
      <c r="EG189" s="5" t="s">
        <v>111</v>
      </c>
      <c r="EH189" s="5" t="s">
        <v>111</v>
      </c>
      <c r="EI189" s="5" t="s">
        <v>111</v>
      </c>
      <c r="EJ189" s="5" t="s">
        <v>114</v>
      </c>
      <c r="EK189" s="5">
        <v>13</v>
      </c>
      <c r="EL189" s="5">
        <v>27</v>
      </c>
    </row>
    <row r="190" spans="1:142" x14ac:dyDescent="0.25">
      <c r="A190" s="5">
        <v>68</v>
      </c>
      <c r="B190" s="5" t="s">
        <v>496</v>
      </c>
      <c r="C190" s="5" t="s">
        <v>497</v>
      </c>
      <c r="D190" s="6"/>
      <c r="E190" s="6"/>
      <c r="F190" s="47"/>
      <c r="G190" s="5">
        <v>0</v>
      </c>
      <c r="H190" s="5">
        <v>46</v>
      </c>
      <c r="I190" s="5">
        <v>9</v>
      </c>
      <c r="J190" s="5">
        <v>5</v>
      </c>
      <c r="K190" s="1">
        <v>0</v>
      </c>
      <c r="L190" s="1">
        <f t="shared" si="22"/>
        <v>0</v>
      </c>
      <c r="M190" s="7" t="s">
        <v>107</v>
      </c>
      <c r="N190" s="7" t="s">
        <v>340</v>
      </c>
      <c r="O190" s="5" t="s">
        <v>340</v>
      </c>
      <c r="P190" s="7" t="s">
        <v>110</v>
      </c>
      <c r="Q190" s="7" t="s">
        <v>110</v>
      </c>
      <c r="R190" s="7">
        <v>2</v>
      </c>
      <c r="S190" s="7">
        <v>2</v>
      </c>
      <c r="T190" s="7">
        <v>0</v>
      </c>
      <c r="Z190" s="8"/>
      <c r="AA190" s="8"/>
      <c r="AB190" s="8"/>
      <c r="AC190" s="8">
        <v>1</v>
      </c>
      <c r="AD190" s="8"/>
      <c r="AE190" s="8"/>
      <c r="AO190" s="7">
        <v>1</v>
      </c>
      <c r="AP190" s="7">
        <f t="shared" si="32"/>
        <v>0.03</v>
      </c>
      <c r="AQ190" s="7">
        <f t="shared" si="23"/>
        <v>0</v>
      </c>
      <c r="AR190" s="7">
        <f t="shared" si="24"/>
        <v>0</v>
      </c>
      <c r="AS190" s="7">
        <f t="shared" si="25"/>
        <v>0</v>
      </c>
      <c r="AT190" s="7">
        <f t="shared" si="26"/>
        <v>0</v>
      </c>
      <c r="AU190" s="7">
        <f t="shared" si="27"/>
        <v>100</v>
      </c>
      <c r="AV190" s="7">
        <f t="shared" si="28"/>
        <v>0</v>
      </c>
      <c r="AW190" s="7">
        <f t="shared" si="29"/>
        <v>0</v>
      </c>
      <c r="AX190" s="7">
        <f t="shared" si="30"/>
        <v>100</v>
      </c>
      <c r="AY190" s="7">
        <v>0</v>
      </c>
      <c r="AZ190" s="7">
        <v>10</v>
      </c>
      <c r="BA190" s="5">
        <v>26</v>
      </c>
      <c r="BB190" s="7">
        <v>0</v>
      </c>
      <c r="BC190" s="7">
        <v>11</v>
      </c>
      <c r="BD190" s="7">
        <f t="shared" si="31"/>
        <v>11</v>
      </c>
      <c r="BE190" s="5">
        <v>0</v>
      </c>
      <c r="BF190" s="5">
        <v>0</v>
      </c>
      <c r="BG190" s="5">
        <v>600</v>
      </c>
      <c r="BH190" s="7">
        <v>15000</v>
      </c>
      <c r="BI190" s="7">
        <v>400</v>
      </c>
      <c r="BJ190" s="7">
        <v>8</v>
      </c>
      <c r="CA190" s="5">
        <v>1</v>
      </c>
      <c r="CU190" s="5">
        <v>2</v>
      </c>
      <c r="CV190" s="5">
        <v>2</v>
      </c>
      <c r="CW190" s="5">
        <v>0</v>
      </c>
      <c r="CX190" s="7">
        <v>8</v>
      </c>
      <c r="CY190" s="5">
        <v>2</v>
      </c>
      <c r="DA190" s="5">
        <v>1</v>
      </c>
      <c r="DD190" s="5">
        <v>365</v>
      </c>
      <c r="DF190" s="5">
        <v>1</v>
      </c>
      <c r="DH190" s="5">
        <v>365</v>
      </c>
      <c r="DJ190" s="5">
        <v>1</v>
      </c>
      <c r="DL190" s="5">
        <v>365</v>
      </c>
      <c r="DM190" s="5">
        <v>1</v>
      </c>
      <c r="DQ190" s="5">
        <v>1</v>
      </c>
      <c r="DT190" s="5">
        <v>3</v>
      </c>
      <c r="DU190" s="5">
        <v>1</v>
      </c>
      <c r="DX190" s="7">
        <v>650</v>
      </c>
      <c r="DY190" s="7">
        <v>500</v>
      </c>
      <c r="EC190" s="5" t="s">
        <v>111</v>
      </c>
      <c r="ED190" s="5" t="s">
        <v>111</v>
      </c>
      <c r="EE190" s="5">
        <v>0</v>
      </c>
      <c r="EF190" s="5">
        <v>0</v>
      </c>
      <c r="EG190" s="5" t="s">
        <v>111</v>
      </c>
      <c r="EH190" s="5" t="s">
        <v>111</v>
      </c>
      <c r="EI190" s="5" t="s">
        <v>111</v>
      </c>
      <c r="EJ190" s="5" t="s">
        <v>114</v>
      </c>
      <c r="EK190" s="5">
        <v>14</v>
      </c>
      <c r="EL190" s="5">
        <v>26</v>
      </c>
    </row>
    <row r="191" spans="1:142" x14ac:dyDescent="0.25">
      <c r="A191" s="5">
        <v>69</v>
      </c>
      <c r="B191" s="5" t="s">
        <v>498</v>
      </c>
      <c r="C191" s="5" t="s">
        <v>499</v>
      </c>
      <c r="D191" s="6"/>
      <c r="E191" s="6"/>
      <c r="F191" s="47"/>
      <c r="G191" s="5">
        <v>0</v>
      </c>
      <c r="H191" s="5">
        <v>35</v>
      </c>
      <c r="I191" s="5">
        <v>6</v>
      </c>
      <c r="J191" s="5">
        <v>2</v>
      </c>
      <c r="K191" s="1">
        <v>8</v>
      </c>
      <c r="L191" s="1">
        <f t="shared" si="22"/>
        <v>2</v>
      </c>
      <c r="M191" s="7" t="s">
        <v>140</v>
      </c>
      <c r="N191" s="7" t="s">
        <v>120</v>
      </c>
      <c r="O191" s="5" t="s">
        <v>340</v>
      </c>
      <c r="P191" s="7" t="s">
        <v>110</v>
      </c>
      <c r="Q191" s="7" t="s">
        <v>110</v>
      </c>
      <c r="R191" s="7">
        <v>2</v>
      </c>
      <c r="S191" s="7">
        <v>4</v>
      </c>
      <c r="T191" s="7">
        <v>5.2378</v>
      </c>
      <c r="Z191" s="8"/>
      <c r="AA191" s="8">
        <v>1</v>
      </c>
      <c r="AB191" s="8"/>
      <c r="AC191" s="8"/>
      <c r="AD191" s="8">
        <v>1</v>
      </c>
      <c r="AE191" s="8"/>
      <c r="AO191" s="7">
        <v>2</v>
      </c>
      <c r="AP191" s="7">
        <f t="shared" si="32"/>
        <v>0.13</v>
      </c>
      <c r="AQ191" s="7">
        <f t="shared" si="23"/>
        <v>23.076923076923077</v>
      </c>
      <c r="AR191" s="7">
        <f t="shared" si="24"/>
        <v>0</v>
      </c>
      <c r="AS191" s="7">
        <f t="shared" si="25"/>
        <v>0.5</v>
      </c>
      <c r="AT191" s="7">
        <f t="shared" si="26"/>
        <v>0</v>
      </c>
      <c r="AU191" s="7">
        <f t="shared" si="27"/>
        <v>0</v>
      </c>
      <c r="AV191" s="7">
        <f t="shared" si="28"/>
        <v>23.076923076923077</v>
      </c>
      <c r="AW191" s="7">
        <f t="shared" si="29"/>
        <v>0</v>
      </c>
      <c r="AX191" s="7">
        <f t="shared" si="30"/>
        <v>23.076923076923077</v>
      </c>
      <c r="AY191" s="7">
        <v>0</v>
      </c>
      <c r="AZ191" s="7">
        <v>13</v>
      </c>
      <c r="BA191" s="5">
        <v>8</v>
      </c>
      <c r="BB191" s="7">
        <v>0</v>
      </c>
      <c r="BC191" s="7">
        <v>30</v>
      </c>
      <c r="BD191" s="7">
        <f t="shared" si="31"/>
        <v>15</v>
      </c>
      <c r="BE191" s="5">
        <v>0</v>
      </c>
      <c r="BF191" s="5">
        <v>0</v>
      </c>
      <c r="BG191" s="5">
        <v>1700</v>
      </c>
      <c r="BH191" s="7">
        <v>30000</v>
      </c>
      <c r="BI191" s="7">
        <v>1000</v>
      </c>
      <c r="BJ191" s="7">
        <v>20</v>
      </c>
      <c r="BM191" s="5">
        <v>1</v>
      </c>
      <c r="BZ191" s="5">
        <v>1</v>
      </c>
      <c r="CU191" s="5">
        <v>2</v>
      </c>
      <c r="CV191" s="5">
        <v>2</v>
      </c>
      <c r="CW191" s="5">
        <v>0</v>
      </c>
      <c r="CX191" s="7">
        <v>8</v>
      </c>
      <c r="CY191" s="5">
        <v>4</v>
      </c>
      <c r="DA191" s="5">
        <v>1</v>
      </c>
      <c r="DD191" s="5">
        <v>365</v>
      </c>
      <c r="DF191" s="5">
        <v>1</v>
      </c>
      <c r="DH191" s="5">
        <v>365</v>
      </c>
      <c r="DJ191" s="5">
        <v>1</v>
      </c>
      <c r="DL191" s="5">
        <v>365</v>
      </c>
      <c r="DM191" s="5">
        <v>1</v>
      </c>
      <c r="DQ191" s="5">
        <v>1</v>
      </c>
      <c r="DT191" s="5">
        <v>3</v>
      </c>
      <c r="DU191" s="5">
        <v>3</v>
      </c>
      <c r="DV191" s="7">
        <v>154000</v>
      </c>
      <c r="DX191" s="7">
        <v>800</v>
      </c>
      <c r="DY191" s="7">
        <v>900</v>
      </c>
      <c r="EC191" s="5" t="s">
        <v>111</v>
      </c>
      <c r="ED191" s="5" t="s">
        <v>111</v>
      </c>
      <c r="EE191" s="5">
        <v>0</v>
      </c>
      <c r="EF191" s="5">
        <v>0</v>
      </c>
      <c r="EG191" s="5" t="s">
        <v>111</v>
      </c>
      <c r="EH191" s="5" t="s">
        <v>111</v>
      </c>
      <c r="EI191" s="5" t="s">
        <v>111</v>
      </c>
      <c r="EJ191" s="5" t="s">
        <v>114</v>
      </c>
      <c r="EK191" s="5">
        <v>14</v>
      </c>
      <c r="EL191" s="5">
        <v>27</v>
      </c>
    </row>
    <row r="192" spans="1:142" x14ac:dyDescent="0.25">
      <c r="A192" s="5">
        <v>70</v>
      </c>
      <c r="B192" s="5" t="s">
        <v>500</v>
      </c>
      <c r="C192" s="5" t="s">
        <v>501</v>
      </c>
      <c r="D192" s="6"/>
      <c r="E192" s="6"/>
      <c r="F192" s="47"/>
      <c r="G192" s="5">
        <v>0</v>
      </c>
      <c r="H192" s="5">
        <v>32</v>
      </c>
      <c r="I192" s="5">
        <v>4</v>
      </c>
      <c r="J192" s="5">
        <v>2</v>
      </c>
      <c r="K192" s="1">
        <v>8</v>
      </c>
      <c r="L192" s="1">
        <f t="shared" si="22"/>
        <v>2</v>
      </c>
      <c r="M192" s="7" t="s">
        <v>107</v>
      </c>
      <c r="N192" s="7" t="s">
        <v>120</v>
      </c>
      <c r="O192" s="5" t="s">
        <v>340</v>
      </c>
      <c r="P192" s="7" t="s">
        <v>110</v>
      </c>
      <c r="Q192" s="7" t="s">
        <v>110</v>
      </c>
      <c r="R192" s="7">
        <v>2</v>
      </c>
      <c r="S192" s="7">
        <v>2</v>
      </c>
      <c r="T192" s="7">
        <v>3.3462000000000001</v>
      </c>
      <c r="Z192" s="8"/>
      <c r="AA192" s="8"/>
      <c r="AB192" s="8">
        <v>1</v>
      </c>
      <c r="AC192" s="8"/>
      <c r="AD192" s="8"/>
      <c r="AE192" s="8"/>
      <c r="AO192" s="7">
        <v>1</v>
      </c>
      <c r="AP192" s="7">
        <f t="shared" si="32"/>
        <v>0.03</v>
      </c>
      <c r="AQ192" s="7">
        <f t="shared" si="23"/>
        <v>0</v>
      </c>
      <c r="AR192" s="7">
        <f t="shared" si="24"/>
        <v>0</v>
      </c>
      <c r="AS192" s="7">
        <f t="shared" si="25"/>
        <v>0</v>
      </c>
      <c r="AT192" s="7">
        <f t="shared" si="26"/>
        <v>100</v>
      </c>
      <c r="AU192" s="7">
        <f t="shared" si="27"/>
        <v>0</v>
      </c>
      <c r="AV192" s="7">
        <f t="shared" si="28"/>
        <v>0</v>
      </c>
      <c r="AW192" s="7">
        <f t="shared" si="29"/>
        <v>0</v>
      </c>
      <c r="AX192" s="7">
        <f t="shared" si="30"/>
        <v>0</v>
      </c>
      <c r="AY192" s="7">
        <v>0</v>
      </c>
      <c r="AZ192" s="7">
        <v>8</v>
      </c>
      <c r="BA192" s="5">
        <v>3</v>
      </c>
      <c r="BB192" s="7">
        <v>0</v>
      </c>
      <c r="BC192" s="7">
        <v>11</v>
      </c>
      <c r="BD192" s="7">
        <f t="shared" si="31"/>
        <v>11</v>
      </c>
      <c r="BE192" s="5">
        <v>0</v>
      </c>
      <c r="BF192" s="5">
        <v>0</v>
      </c>
      <c r="BG192" s="5">
        <v>600</v>
      </c>
      <c r="BH192" s="7">
        <v>15000</v>
      </c>
      <c r="BI192" s="7">
        <v>400</v>
      </c>
      <c r="BJ192" s="7">
        <v>8</v>
      </c>
      <c r="BX192" s="5">
        <v>1</v>
      </c>
      <c r="CU192" s="5">
        <v>2</v>
      </c>
      <c r="CV192" s="5">
        <v>2</v>
      </c>
      <c r="CW192" s="5">
        <v>0</v>
      </c>
      <c r="CX192" s="7">
        <v>8</v>
      </c>
      <c r="CY192" s="5">
        <v>2</v>
      </c>
      <c r="DA192" s="5">
        <v>1</v>
      </c>
      <c r="DC192" s="5">
        <v>1</v>
      </c>
      <c r="DD192" s="5">
        <v>365</v>
      </c>
      <c r="DF192" s="5">
        <v>1</v>
      </c>
      <c r="DG192" s="5">
        <v>1</v>
      </c>
      <c r="DH192" s="5">
        <v>365</v>
      </c>
      <c r="DJ192" s="5">
        <v>1</v>
      </c>
      <c r="DK192" s="5">
        <v>1</v>
      </c>
      <c r="DL192" s="5">
        <v>365</v>
      </c>
      <c r="DM192" s="5">
        <v>1</v>
      </c>
      <c r="DO192" s="5">
        <v>1</v>
      </c>
      <c r="DQ192" s="5">
        <v>1</v>
      </c>
      <c r="DS192" s="5">
        <v>1</v>
      </c>
      <c r="DT192" s="5">
        <v>3</v>
      </c>
      <c r="DU192" s="5">
        <v>3</v>
      </c>
      <c r="DV192" s="7">
        <v>108000</v>
      </c>
      <c r="DX192" s="7">
        <v>650</v>
      </c>
      <c r="DY192" s="7">
        <v>600</v>
      </c>
      <c r="EC192" s="5" t="s">
        <v>111</v>
      </c>
      <c r="ED192" s="5" t="s">
        <v>111</v>
      </c>
      <c r="EE192" s="5">
        <v>0</v>
      </c>
      <c r="EF192" s="5">
        <v>0</v>
      </c>
      <c r="EG192" s="5" t="s">
        <v>111</v>
      </c>
      <c r="EH192" s="5" t="s">
        <v>111</v>
      </c>
      <c r="EI192" s="5" t="s">
        <v>111</v>
      </c>
      <c r="EJ192" s="5" t="s">
        <v>114</v>
      </c>
      <c r="EK192" s="5">
        <v>13</v>
      </c>
      <c r="EL192" s="5">
        <v>27</v>
      </c>
    </row>
    <row r="193" spans="1:142" x14ac:dyDescent="0.25">
      <c r="A193" s="5">
        <v>71</v>
      </c>
      <c r="B193" s="5" t="s">
        <v>502</v>
      </c>
      <c r="C193" s="5" t="s">
        <v>503</v>
      </c>
      <c r="D193" s="6"/>
      <c r="E193" s="6"/>
      <c r="F193" s="47"/>
      <c r="G193" s="5">
        <v>0</v>
      </c>
      <c r="H193" s="5">
        <v>34</v>
      </c>
      <c r="I193" s="5">
        <v>5</v>
      </c>
      <c r="J193" s="5">
        <v>2</v>
      </c>
      <c r="K193" s="1">
        <v>5</v>
      </c>
      <c r="L193" s="1">
        <f t="shared" si="22"/>
        <v>1</v>
      </c>
      <c r="M193" s="7" t="s">
        <v>140</v>
      </c>
      <c r="N193" s="7" t="s">
        <v>120</v>
      </c>
      <c r="O193" s="5" t="s">
        <v>340</v>
      </c>
      <c r="P193" s="7" t="s">
        <v>110</v>
      </c>
      <c r="Q193" s="7" t="s">
        <v>110</v>
      </c>
      <c r="R193" s="7">
        <v>2</v>
      </c>
      <c r="S193" s="7">
        <v>6</v>
      </c>
      <c r="T193" s="7">
        <v>5.2378</v>
      </c>
      <c r="Z193" s="8"/>
      <c r="AA193" s="8">
        <v>1</v>
      </c>
      <c r="AB193" s="8"/>
      <c r="AC193" s="8"/>
      <c r="AD193" s="8"/>
      <c r="AE193" s="8"/>
      <c r="AO193" s="7">
        <v>1</v>
      </c>
      <c r="AP193" s="7">
        <f t="shared" si="32"/>
        <v>0.03</v>
      </c>
      <c r="AQ193" s="7">
        <f t="shared" si="23"/>
        <v>100</v>
      </c>
      <c r="AR193" s="7">
        <f t="shared" si="24"/>
        <v>0</v>
      </c>
      <c r="AS193" s="7">
        <f t="shared" si="25"/>
        <v>1</v>
      </c>
      <c r="AT193" s="7">
        <f t="shared" si="26"/>
        <v>0</v>
      </c>
      <c r="AU193" s="7">
        <f t="shared" si="27"/>
        <v>0</v>
      </c>
      <c r="AV193" s="7">
        <f t="shared" si="28"/>
        <v>0</v>
      </c>
      <c r="AW193" s="7">
        <f t="shared" si="29"/>
        <v>0</v>
      </c>
      <c r="AX193" s="7">
        <f t="shared" si="30"/>
        <v>100</v>
      </c>
      <c r="AY193" s="7">
        <v>0</v>
      </c>
      <c r="AZ193" s="7">
        <v>3</v>
      </c>
      <c r="BA193" s="5">
        <v>47</v>
      </c>
      <c r="BB193" s="7">
        <v>0</v>
      </c>
      <c r="BC193" s="7">
        <v>6</v>
      </c>
      <c r="BD193" s="7">
        <f t="shared" si="31"/>
        <v>6</v>
      </c>
      <c r="BE193" s="5">
        <v>0</v>
      </c>
      <c r="BF193" s="5">
        <v>0</v>
      </c>
      <c r="BG193" s="5">
        <v>400</v>
      </c>
      <c r="BH193" s="7">
        <v>15000</v>
      </c>
      <c r="BI193" s="7">
        <v>200</v>
      </c>
      <c r="BJ193" s="7">
        <v>4</v>
      </c>
      <c r="BZ193" s="5">
        <v>1</v>
      </c>
      <c r="CU193" s="5">
        <v>2</v>
      </c>
      <c r="CV193" s="5">
        <v>2</v>
      </c>
      <c r="CW193" s="5">
        <v>0</v>
      </c>
      <c r="CX193" s="7">
        <v>8</v>
      </c>
      <c r="CY193" s="5">
        <v>2</v>
      </c>
      <c r="DA193" s="5">
        <v>1</v>
      </c>
      <c r="DD193" s="5">
        <v>365</v>
      </c>
      <c r="DF193" s="5">
        <v>1</v>
      </c>
      <c r="DH193" s="5">
        <v>365</v>
      </c>
      <c r="DJ193" s="5">
        <v>1</v>
      </c>
      <c r="DL193" s="5">
        <v>365</v>
      </c>
      <c r="DM193" s="5">
        <v>1</v>
      </c>
      <c r="DQ193" s="5">
        <v>1</v>
      </c>
      <c r="DT193" s="5">
        <v>3</v>
      </c>
      <c r="DU193" s="5">
        <v>2</v>
      </c>
      <c r="DX193" s="7">
        <v>650</v>
      </c>
      <c r="DY193" s="7">
        <v>700</v>
      </c>
      <c r="EC193" s="5" t="s">
        <v>111</v>
      </c>
      <c r="ED193" s="5" t="s">
        <v>111</v>
      </c>
      <c r="EE193" s="5">
        <v>0</v>
      </c>
      <c r="EF193" s="5">
        <v>0</v>
      </c>
      <c r="EG193" s="5" t="s">
        <v>111</v>
      </c>
      <c r="EH193" s="5" t="s">
        <v>111</v>
      </c>
      <c r="EI193" s="5" t="s">
        <v>111</v>
      </c>
      <c r="EJ193" s="5" t="s">
        <v>114</v>
      </c>
      <c r="EK193" s="5">
        <v>13</v>
      </c>
      <c r="EL193" s="5">
        <v>27</v>
      </c>
    </row>
    <row r="194" spans="1:142" x14ac:dyDescent="0.25">
      <c r="A194" s="5">
        <v>72</v>
      </c>
      <c r="B194" s="5" t="s">
        <v>504</v>
      </c>
      <c r="C194" s="5" t="s">
        <v>505</v>
      </c>
      <c r="D194" s="6"/>
      <c r="E194" s="6"/>
      <c r="F194" s="47"/>
      <c r="G194" s="5">
        <v>0</v>
      </c>
      <c r="H194" s="5">
        <v>44</v>
      </c>
      <c r="I194" s="5">
        <v>9</v>
      </c>
      <c r="J194" s="5">
        <v>5</v>
      </c>
      <c r="K194" s="1">
        <v>6</v>
      </c>
      <c r="L194" s="1">
        <f t="shared" si="22"/>
        <v>2</v>
      </c>
      <c r="M194" s="7" t="s">
        <v>107</v>
      </c>
      <c r="N194" s="7" t="s">
        <v>120</v>
      </c>
      <c r="O194" s="5" t="s">
        <v>340</v>
      </c>
      <c r="P194" s="7" t="s">
        <v>110</v>
      </c>
      <c r="Q194" s="7" t="s">
        <v>110</v>
      </c>
      <c r="R194" s="7">
        <v>3</v>
      </c>
      <c r="S194" s="7">
        <v>5</v>
      </c>
      <c r="T194" s="7">
        <v>0</v>
      </c>
      <c r="U194" s="5">
        <v>1</v>
      </c>
      <c r="Z194" s="8"/>
      <c r="AA194" s="8"/>
      <c r="AB194" s="8"/>
      <c r="AC194" s="8"/>
      <c r="AD194" s="8">
        <v>2</v>
      </c>
      <c r="AE194" s="8"/>
      <c r="AO194" s="7">
        <v>2</v>
      </c>
      <c r="AP194" s="7">
        <f t="shared" si="32"/>
        <v>0.2</v>
      </c>
      <c r="AQ194" s="7">
        <f t="shared" si="23"/>
        <v>0</v>
      </c>
      <c r="AR194" s="7">
        <f t="shared" si="24"/>
        <v>0</v>
      </c>
      <c r="AS194" s="7">
        <f t="shared" si="25"/>
        <v>0</v>
      </c>
      <c r="AT194" s="7">
        <f t="shared" si="26"/>
        <v>0</v>
      </c>
      <c r="AU194" s="7">
        <f t="shared" si="27"/>
        <v>0</v>
      </c>
      <c r="AV194" s="7">
        <f t="shared" si="28"/>
        <v>30</v>
      </c>
      <c r="AW194" s="7">
        <f t="shared" si="29"/>
        <v>0</v>
      </c>
      <c r="AX194" s="7">
        <f t="shared" si="30"/>
        <v>0</v>
      </c>
      <c r="AY194" s="7">
        <v>0</v>
      </c>
      <c r="AZ194" s="7">
        <v>23.5</v>
      </c>
      <c r="BA194" s="5">
        <v>9</v>
      </c>
      <c r="BB194" s="7">
        <v>0</v>
      </c>
      <c r="BC194" s="7">
        <v>55</v>
      </c>
      <c r="BD194" s="7">
        <f t="shared" si="31"/>
        <v>27.5</v>
      </c>
      <c r="BE194" s="5">
        <v>0</v>
      </c>
      <c r="BF194" s="5">
        <v>0</v>
      </c>
      <c r="BG194" s="5">
        <v>3000</v>
      </c>
      <c r="BH194" s="7">
        <v>30000</v>
      </c>
      <c r="BI194" s="7">
        <v>1800</v>
      </c>
      <c r="BJ194" s="7">
        <v>36</v>
      </c>
      <c r="BM194" s="5">
        <v>2</v>
      </c>
      <c r="CU194" s="5">
        <v>2</v>
      </c>
      <c r="CV194" s="5">
        <v>2</v>
      </c>
      <c r="CW194" s="5">
        <v>0</v>
      </c>
      <c r="CX194" s="7">
        <v>8</v>
      </c>
      <c r="CY194" s="5">
        <v>4</v>
      </c>
      <c r="DA194" s="5">
        <v>1</v>
      </c>
      <c r="DD194" s="5">
        <v>365</v>
      </c>
      <c r="DF194" s="5">
        <v>1</v>
      </c>
      <c r="DH194" s="5">
        <v>365</v>
      </c>
      <c r="DJ194" s="5">
        <v>1</v>
      </c>
      <c r="DL194" s="5">
        <v>365</v>
      </c>
      <c r="DM194" s="5">
        <v>1</v>
      </c>
      <c r="DQ194" s="5">
        <v>1</v>
      </c>
      <c r="DT194" s="5">
        <v>3</v>
      </c>
      <c r="DU194" s="5">
        <v>3</v>
      </c>
      <c r="DV194" s="7">
        <v>148000</v>
      </c>
      <c r="DX194" s="7">
        <v>800</v>
      </c>
      <c r="DY194" s="7">
        <v>800</v>
      </c>
      <c r="EC194" s="5" t="s">
        <v>111</v>
      </c>
      <c r="ED194" s="5" t="s">
        <v>111</v>
      </c>
      <c r="EE194" s="5">
        <v>0</v>
      </c>
      <c r="EF194" s="5">
        <v>0</v>
      </c>
      <c r="EG194" s="5" t="s">
        <v>111</v>
      </c>
      <c r="EH194" s="5" t="s">
        <v>111</v>
      </c>
      <c r="EI194" s="5" t="s">
        <v>111</v>
      </c>
      <c r="EJ194" s="5" t="s">
        <v>114</v>
      </c>
      <c r="EK194" s="5">
        <v>14</v>
      </c>
      <c r="EL194" s="5">
        <v>26</v>
      </c>
    </row>
    <row r="195" spans="1:142" x14ac:dyDescent="0.25">
      <c r="A195" s="5">
        <v>73</v>
      </c>
      <c r="B195" s="5" t="s">
        <v>506</v>
      </c>
      <c r="C195" s="5" t="s">
        <v>507</v>
      </c>
      <c r="D195" s="6"/>
      <c r="E195" s="6"/>
      <c r="F195" s="47"/>
      <c r="G195" s="5">
        <v>0</v>
      </c>
      <c r="H195" s="5">
        <v>38</v>
      </c>
      <c r="I195" s="5">
        <v>6</v>
      </c>
      <c r="J195" s="5">
        <v>2</v>
      </c>
      <c r="K195" s="1">
        <v>10</v>
      </c>
      <c r="L195" s="1">
        <f t="shared" si="22"/>
        <v>3</v>
      </c>
      <c r="M195" s="7" t="s">
        <v>140</v>
      </c>
      <c r="N195" s="7" t="s">
        <v>373</v>
      </c>
      <c r="O195" s="5" t="s">
        <v>340</v>
      </c>
      <c r="P195" s="7" t="s">
        <v>110</v>
      </c>
      <c r="Q195" s="7" t="s">
        <v>110</v>
      </c>
      <c r="R195" s="7">
        <v>2</v>
      </c>
      <c r="S195" s="7">
        <v>5</v>
      </c>
      <c r="T195" s="7">
        <v>0</v>
      </c>
      <c r="Z195" s="8"/>
      <c r="AA195" s="8">
        <v>1</v>
      </c>
      <c r="AB195" s="8"/>
      <c r="AC195" s="8">
        <v>1</v>
      </c>
      <c r="AD195" s="8"/>
      <c r="AE195" s="8"/>
      <c r="AO195" s="7">
        <v>2</v>
      </c>
      <c r="AP195" s="7">
        <f t="shared" si="32"/>
        <v>0.06</v>
      </c>
      <c r="AQ195" s="7">
        <f t="shared" si="23"/>
        <v>50</v>
      </c>
      <c r="AR195" s="7">
        <f t="shared" si="24"/>
        <v>0</v>
      </c>
      <c r="AS195" s="7">
        <f t="shared" si="25"/>
        <v>0.5</v>
      </c>
      <c r="AT195" s="7">
        <f t="shared" si="26"/>
        <v>0</v>
      </c>
      <c r="AU195" s="7">
        <f t="shared" si="27"/>
        <v>50</v>
      </c>
      <c r="AV195" s="7">
        <f t="shared" si="28"/>
        <v>0</v>
      </c>
      <c r="AW195" s="7">
        <f t="shared" si="29"/>
        <v>0</v>
      </c>
      <c r="AX195" s="7">
        <f t="shared" si="30"/>
        <v>100</v>
      </c>
      <c r="AY195" s="7">
        <v>0</v>
      </c>
      <c r="AZ195" s="7">
        <v>4.5</v>
      </c>
      <c r="BA195" s="5">
        <v>20</v>
      </c>
      <c r="BB195" s="7">
        <v>0</v>
      </c>
      <c r="BC195" s="7">
        <v>12</v>
      </c>
      <c r="BD195" s="7">
        <f t="shared" si="31"/>
        <v>6</v>
      </c>
      <c r="BE195" s="5">
        <v>0</v>
      </c>
      <c r="BF195" s="5">
        <v>0</v>
      </c>
      <c r="BG195" s="5">
        <v>700</v>
      </c>
      <c r="BH195" s="7">
        <v>30000</v>
      </c>
      <c r="BI195" s="7">
        <v>400</v>
      </c>
      <c r="BJ195" s="7">
        <v>8</v>
      </c>
      <c r="BW195" s="5">
        <v>1</v>
      </c>
      <c r="BZ195" s="5">
        <v>1</v>
      </c>
      <c r="CU195" s="5">
        <v>2</v>
      </c>
      <c r="CV195" s="5">
        <v>2</v>
      </c>
      <c r="CW195" s="5">
        <v>0</v>
      </c>
      <c r="CX195" s="7">
        <v>8</v>
      </c>
      <c r="CY195" s="5">
        <v>4</v>
      </c>
      <c r="DA195" s="5">
        <v>1</v>
      </c>
      <c r="DD195" s="5">
        <v>365</v>
      </c>
      <c r="DF195" s="5">
        <v>1</v>
      </c>
      <c r="DH195" s="5">
        <v>365</v>
      </c>
      <c r="DJ195" s="5">
        <v>1</v>
      </c>
      <c r="DL195" s="5">
        <v>365</v>
      </c>
      <c r="DM195" s="5">
        <v>1</v>
      </c>
      <c r="DQ195" s="5">
        <v>1</v>
      </c>
      <c r="DT195" s="5">
        <v>3</v>
      </c>
      <c r="DU195" s="5">
        <v>1</v>
      </c>
      <c r="DX195" s="7">
        <v>800</v>
      </c>
      <c r="DY195" s="7">
        <v>900</v>
      </c>
      <c r="EC195" s="5" t="s">
        <v>111</v>
      </c>
      <c r="ED195" s="5" t="s">
        <v>111</v>
      </c>
      <c r="EE195" s="5">
        <v>0</v>
      </c>
      <c r="EF195" s="5">
        <v>0</v>
      </c>
      <c r="EG195" s="5" t="s">
        <v>111</v>
      </c>
      <c r="EH195" s="5" t="s">
        <v>111</v>
      </c>
      <c r="EI195" s="5" t="s">
        <v>111</v>
      </c>
      <c r="EJ195" s="5" t="s">
        <v>114</v>
      </c>
      <c r="EK195" s="5">
        <v>14</v>
      </c>
      <c r="EL195" s="5">
        <v>26</v>
      </c>
    </row>
    <row r="196" spans="1:142" x14ac:dyDescent="0.25">
      <c r="A196" s="5">
        <v>74</v>
      </c>
      <c r="B196" s="5" t="s">
        <v>508</v>
      </c>
      <c r="C196" s="5" t="s">
        <v>509</v>
      </c>
      <c r="D196" s="6"/>
      <c r="E196" s="6"/>
      <c r="F196" s="47"/>
      <c r="G196" s="5">
        <v>0</v>
      </c>
      <c r="H196" s="5">
        <v>50</v>
      </c>
      <c r="I196" s="5">
        <v>12</v>
      </c>
      <c r="J196" s="5">
        <v>8</v>
      </c>
      <c r="K196" s="1">
        <v>5</v>
      </c>
      <c r="L196" s="1">
        <f t="shared" si="22"/>
        <v>1</v>
      </c>
      <c r="M196" s="7" t="s">
        <v>107</v>
      </c>
      <c r="N196" s="7" t="s">
        <v>120</v>
      </c>
      <c r="O196" s="5" t="s">
        <v>340</v>
      </c>
      <c r="P196" s="7" t="s">
        <v>110</v>
      </c>
      <c r="Q196" s="7" t="s">
        <v>110</v>
      </c>
      <c r="R196" s="7">
        <v>1</v>
      </c>
      <c r="S196" s="7">
        <v>3</v>
      </c>
      <c r="T196" s="7">
        <v>0</v>
      </c>
      <c r="Z196" s="8"/>
      <c r="AA196" s="8">
        <v>1</v>
      </c>
      <c r="AB196" s="8"/>
      <c r="AC196" s="8"/>
      <c r="AD196" s="8"/>
      <c r="AE196" s="8">
        <v>1</v>
      </c>
      <c r="AO196" s="7">
        <v>2</v>
      </c>
      <c r="AP196" s="7">
        <f t="shared" si="32"/>
        <v>0.13</v>
      </c>
      <c r="AQ196" s="7">
        <f t="shared" si="23"/>
        <v>23.076923076923077</v>
      </c>
      <c r="AR196" s="7">
        <f t="shared" si="24"/>
        <v>0</v>
      </c>
      <c r="AS196" s="7">
        <f t="shared" si="25"/>
        <v>0.5</v>
      </c>
      <c r="AT196" s="7">
        <f t="shared" si="26"/>
        <v>0</v>
      </c>
      <c r="AU196" s="7">
        <f t="shared" si="27"/>
        <v>0</v>
      </c>
      <c r="AV196" s="7">
        <f t="shared" si="28"/>
        <v>0</v>
      </c>
      <c r="AW196" s="7">
        <f t="shared" si="29"/>
        <v>23.076923076923077</v>
      </c>
      <c r="AX196" s="7">
        <f t="shared" si="30"/>
        <v>46.153846153846153</v>
      </c>
      <c r="AY196" s="7">
        <v>0</v>
      </c>
      <c r="AZ196" s="7">
        <v>10</v>
      </c>
      <c r="BA196" s="5">
        <v>36</v>
      </c>
      <c r="BB196" s="7">
        <v>0.5</v>
      </c>
      <c r="BC196" s="7">
        <v>26</v>
      </c>
      <c r="BD196" s="7">
        <f t="shared" si="31"/>
        <v>13</v>
      </c>
      <c r="BE196" s="5">
        <v>1</v>
      </c>
      <c r="BF196" s="5">
        <v>200</v>
      </c>
      <c r="BG196" s="5">
        <v>1500</v>
      </c>
      <c r="BH196" s="7">
        <v>30000</v>
      </c>
      <c r="BI196" s="7">
        <v>900</v>
      </c>
      <c r="BJ196" s="7">
        <v>18</v>
      </c>
      <c r="BP196" s="5">
        <v>1</v>
      </c>
      <c r="BT196" s="5">
        <v>1</v>
      </c>
      <c r="CU196" s="5">
        <v>2</v>
      </c>
      <c r="CV196" s="5">
        <v>2</v>
      </c>
      <c r="CW196" s="5">
        <v>0</v>
      </c>
      <c r="CX196" s="7">
        <v>8</v>
      </c>
      <c r="CY196" s="5">
        <v>4</v>
      </c>
      <c r="DA196" s="5">
        <v>1</v>
      </c>
      <c r="DC196" s="5">
        <v>1</v>
      </c>
      <c r="DD196" s="5">
        <v>365</v>
      </c>
      <c r="DF196" s="5">
        <v>1</v>
      </c>
      <c r="DG196" s="5">
        <v>1</v>
      </c>
      <c r="DH196" s="5">
        <v>365</v>
      </c>
      <c r="DJ196" s="5">
        <v>1</v>
      </c>
      <c r="DK196" s="5">
        <v>1</v>
      </c>
      <c r="DL196" s="5">
        <v>365</v>
      </c>
      <c r="DM196" s="5">
        <v>1</v>
      </c>
      <c r="DO196" s="5">
        <v>1</v>
      </c>
      <c r="DQ196" s="5">
        <v>1</v>
      </c>
      <c r="DS196" s="5">
        <v>1</v>
      </c>
      <c r="DT196" s="5">
        <v>3</v>
      </c>
      <c r="DU196" s="5">
        <v>1</v>
      </c>
      <c r="DX196" s="7">
        <v>800</v>
      </c>
      <c r="DY196" s="7">
        <v>800</v>
      </c>
      <c r="EC196" s="5" t="s">
        <v>111</v>
      </c>
      <c r="ED196" s="5" t="s">
        <v>111</v>
      </c>
      <c r="EE196" s="5">
        <v>0</v>
      </c>
      <c r="EF196" s="5">
        <v>0</v>
      </c>
      <c r="EG196" s="5" t="s">
        <v>111</v>
      </c>
      <c r="EH196" s="5" t="s">
        <v>111</v>
      </c>
      <c r="EI196" s="5" t="s">
        <v>111</v>
      </c>
      <c r="EJ196" s="5" t="s">
        <v>114</v>
      </c>
      <c r="EK196" s="5">
        <v>13</v>
      </c>
      <c r="EL196" s="5">
        <v>27</v>
      </c>
    </row>
    <row r="197" spans="1:142" x14ac:dyDescent="0.25">
      <c r="A197" s="5">
        <v>75</v>
      </c>
      <c r="B197" s="5" t="s">
        <v>510</v>
      </c>
      <c r="C197" s="5" t="s">
        <v>511</v>
      </c>
      <c r="D197" s="6"/>
      <c r="E197" s="6"/>
      <c r="F197" s="47"/>
      <c r="G197" s="5">
        <v>0</v>
      </c>
      <c r="H197" s="5">
        <v>34</v>
      </c>
      <c r="I197" s="5">
        <v>6</v>
      </c>
      <c r="J197" s="5">
        <v>3</v>
      </c>
      <c r="K197" s="1">
        <v>13</v>
      </c>
      <c r="L197" s="1">
        <f t="shared" si="22"/>
        <v>5</v>
      </c>
      <c r="M197" s="7" t="s">
        <v>140</v>
      </c>
      <c r="N197" s="7" t="s">
        <v>473</v>
      </c>
      <c r="O197" s="5" t="s">
        <v>340</v>
      </c>
      <c r="P197" s="7" t="s">
        <v>110</v>
      </c>
      <c r="Q197" s="7" t="s">
        <v>110</v>
      </c>
      <c r="R197" s="7">
        <v>1</v>
      </c>
      <c r="S197" s="7">
        <v>4</v>
      </c>
      <c r="T197" s="7">
        <v>0</v>
      </c>
      <c r="Z197" s="8"/>
      <c r="AA197" s="8"/>
      <c r="AB197" s="8">
        <v>1</v>
      </c>
      <c r="AC197" s="8"/>
      <c r="AD197" s="8">
        <v>1</v>
      </c>
      <c r="AE197" s="8"/>
      <c r="AO197" s="7">
        <v>2</v>
      </c>
      <c r="AP197" s="7">
        <f t="shared" si="32"/>
        <v>0.13</v>
      </c>
      <c r="AQ197" s="7">
        <f t="shared" si="23"/>
        <v>0</v>
      </c>
      <c r="AR197" s="7">
        <f t="shared" si="24"/>
        <v>0</v>
      </c>
      <c r="AS197" s="7">
        <f t="shared" si="25"/>
        <v>0</v>
      </c>
      <c r="AT197" s="7">
        <f t="shared" si="26"/>
        <v>23.076923076923077</v>
      </c>
      <c r="AU197" s="7">
        <f t="shared" si="27"/>
        <v>0</v>
      </c>
      <c r="AV197" s="7">
        <f t="shared" si="28"/>
        <v>23.076923076923077</v>
      </c>
      <c r="AW197" s="7">
        <f t="shared" si="29"/>
        <v>0</v>
      </c>
      <c r="AX197" s="7">
        <f t="shared" si="30"/>
        <v>0</v>
      </c>
      <c r="AY197" s="7">
        <v>0</v>
      </c>
      <c r="AZ197" s="7">
        <v>18</v>
      </c>
      <c r="BA197" s="5">
        <v>11</v>
      </c>
      <c r="BB197" s="7">
        <v>0</v>
      </c>
      <c r="BC197" s="7">
        <v>41</v>
      </c>
      <c r="BD197" s="7">
        <f t="shared" si="31"/>
        <v>20.5</v>
      </c>
      <c r="BE197" s="5">
        <v>0</v>
      </c>
      <c r="BF197" s="5">
        <v>0</v>
      </c>
      <c r="BG197" s="5">
        <v>2200</v>
      </c>
      <c r="BH197" s="7">
        <v>30000</v>
      </c>
      <c r="BI197" s="7">
        <v>1400</v>
      </c>
      <c r="BJ197" s="7">
        <v>28</v>
      </c>
      <c r="BM197" s="5">
        <v>1</v>
      </c>
      <c r="BW197" s="5">
        <v>1</v>
      </c>
      <c r="CU197" s="5">
        <v>2</v>
      </c>
      <c r="CV197" s="5">
        <v>2</v>
      </c>
      <c r="CW197" s="5">
        <v>0</v>
      </c>
      <c r="CX197" s="7">
        <v>8</v>
      </c>
      <c r="CY197" s="5">
        <v>4</v>
      </c>
      <c r="DA197" s="5">
        <v>1</v>
      </c>
      <c r="DD197" s="5">
        <v>365</v>
      </c>
      <c r="DF197" s="5">
        <v>2</v>
      </c>
      <c r="DH197" s="5">
        <v>365</v>
      </c>
      <c r="DJ197" s="5">
        <v>1</v>
      </c>
      <c r="DL197" s="5">
        <v>365</v>
      </c>
      <c r="DM197" s="5">
        <v>1</v>
      </c>
      <c r="DQ197" s="5">
        <v>1</v>
      </c>
      <c r="DT197" s="5">
        <v>3</v>
      </c>
      <c r="DU197" s="5">
        <v>2</v>
      </c>
      <c r="DX197" s="7">
        <v>800</v>
      </c>
      <c r="DY197" s="7">
        <v>1000</v>
      </c>
      <c r="EC197" s="5" t="s">
        <v>111</v>
      </c>
      <c r="ED197" s="5" t="s">
        <v>111</v>
      </c>
      <c r="EE197" s="5">
        <v>0</v>
      </c>
      <c r="EF197" s="5">
        <v>0</v>
      </c>
      <c r="EG197" s="5" t="s">
        <v>111</v>
      </c>
      <c r="EH197" s="5" t="s">
        <v>111</v>
      </c>
      <c r="EI197" s="5" t="s">
        <v>111</v>
      </c>
      <c r="EJ197" s="5" t="s">
        <v>114</v>
      </c>
      <c r="EK197" s="5">
        <v>14</v>
      </c>
      <c r="EL197" s="5">
        <v>27</v>
      </c>
    </row>
    <row r="198" spans="1:142" x14ac:dyDescent="0.25">
      <c r="A198" s="5">
        <v>76</v>
      </c>
      <c r="B198" s="5" t="s">
        <v>512</v>
      </c>
      <c r="C198" s="5" t="s">
        <v>513</v>
      </c>
      <c r="D198" s="6"/>
      <c r="E198" s="6"/>
      <c r="F198" s="47"/>
      <c r="G198" s="5">
        <v>0</v>
      </c>
      <c r="H198" s="5">
        <v>28</v>
      </c>
      <c r="I198" s="5">
        <v>3</v>
      </c>
      <c r="J198" s="5">
        <v>0</v>
      </c>
      <c r="K198" s="1">
        <v>13</v>
      </c>
      <c r="L198" s="1">
        <f t="shared" ref="L198:L212" si="33">IF(K198=0,0,IF(K198&lt;=5,1,IF(K198&lt;=9,2,IF(K198&lt;=11,3,IF(K198=12,4,IF(K198=13,5,""))))))</f>
        <v>5</v>
      </c>
      <c r="M198" s="7" t="s">
        <v>107</v>
      </c>
      <c r="N198" s="7" t="s">
        <v>117</v>
      </c>
      <c r="O198" s="5" t="s">
        <v>120</v>
      </c>
      <c r="P198" s="7" t="s">
        <v>110</v>
      </c>
      <c r="Q198" s="7" t="s">
        <v>110</v>
      </c>
      <c r="R198" s="7">
        <v>2</v>
      </c>
      <c r="S198" s="7">
        <v>2</v>
      </c>
      <c r="T198" s="7">
        <v>0</v>
      </c>
      <c r="Z198" s="8">
        <v>1</v>
      </c>
      <c r="AA198" s="8"/>
      <c r="AB198" s="8"/>
      <c r="AC198" s="8">
        <v>1</v>
      </c>
      <c r="AD198" s="8"/>
      <c r="AE198" s="8"/>
      <c r="AO198" s="7">
        <v>2</v>
      </c>
      <c r="AP198" s="7">
        <f t="shared" si="32"/>
        <v>0.06</v>
      </c>
      <c r="AQ198" s="7">
        <f t="shared" ref="AQ198:AQ212" si="34">(((Z198+AA198)*0.03)/AP198)*100</f>
        <v>50</v>
      </c>
      <c r="AR198" s="7">
        <f t="shared" ref="AR198:AR212" si="35">Z198/AO198</f>
        <v>0.5</v>
      </c>
      <c r="AS198" s="7">
        <f t="shared" ref="AS198:AS212" si="36">AA198/AO198</f>
        <v>0</v>
      </c>
      <c r="AT198" s="7">
        <f t="shared" ref="AT198:AT212" si="37">((AB198*0.03)/AP198)*100</f>
        <v>0</v>
      </c>
      <c r="AU198" s="7">
        <f t="shared" ref="AU198:AU212" si="38">((AC198*0.03)/AP198)*100</f>
        <v>50</v>
      </c>
      <c r="AV198" s="7">
        <f t="shared" ref="AV198:AV212" si="39">((AD198*0.03)/AP198)*100</f>
        <v>0</v>
      </c>
      <c r="AW198" s="7">
        <f t="shared" ref="AW198:AW212" si="40">((AE198*0.03)/AP198)*100</f>
        <v>0</v>
      </c>
      <c r="AX198" s="7">
        <f t="shared" ref="AX198:AX212" si="41">(((AA198+AC198+AE198)*0.03)/AP198)*100</f>
        <v>50</v>
      </c>
      <c r="AY198" s="7">
        <v>0</v>
      </c>
      <c r="AZ198" s="7">
        <v>5.5</v>
      </c>
      <c r="BA198" s="5">
        <v>19</v>
      </c>
      <c r="BB198" s="7">
        <v>0</v>
      </c>
      <c r="BC198" s="7">
        <v>14</v>
      </c>
      <c r="BD198" s="7">
        <f t="shared" ref="BD198:BD212" si="42">BC198/AO198</f>
        <v>7</v>
      </c>
      <c r="BE198" s="5">
        <v>0</v>
      </c>
      <c r="BF198" s="5">
        <v>0</v>
      </c>
      <c r="BG198" s="5">
        <v>900</v>
      </c>
      <c r="BH198" s="7">
        <v>30000</v>
      </c>
      <c r="BI198" s="7">
        <v>500</v>
      </c>
      <c r="BJ198" s="7">
        <v>10</v>
      </c>
      <c r="BK198" s="5">
        <v>1</v>
      </c>
      <c r="BZ198" s="5">
        <v>1</v>
      </c>
      <c r="CU198" s="5">
        <v>2</v>
      </c>
      <c r="CV198" s="5">
        <v>2</v>
      </c>
      <c r="CW198" s="5">
        <v>0</v>
      </c>
      <c r="CX198" s="7">
        <v>8</v>
      </c>
      <c r="CY198" s="5">
        <v>4</v>
      </c>
      <c r="DA198" s="5">
        <v>1</v>
      </c>
      <c r="DD198" s="5">
        <v>365</v>
      </c>
      <c r="DF198" s="5">
        <v>1</v>
      </c>
      <c r="DH198" s="5">
        <v>365</v>
      </c>
      <c r="DJ198" s="5">
        <v>1</v>
      </c>
      <c r="DL198" s="5">
        <v>365</v>
      </c>
      <c r="DM198" s="5">
        <v>1</v>
      </c>
      <c r="DQ198" s="5">
        <v>1</v>
      </c>
      <c r="DT198" s="5">
        <v>3</v>
      </c>
      <c r="DU198" s="5">
        <v>1</v>
      </c>
      <c r="DX198" s="7">
        <v>800</v>
      </c>
      <c r="DY198" s="7">
        <v>900</v>
      </c>
      <c r="EC198" s="5" t="s">
        <v>111</v>
      </c>
      <c r="ED198" s="5" t="s">
        <v>111</v>
      </c>
      <c r="EE198" s="5">
        <v>0</v>
      </c>
      <c r="EF198" s="5">
        <v>0</v>
      </c>
      <c r="EG198" s="5" t="s">
        <v>111</v>
      </c>
      <c r="EH198" s="5" t="s">
        <v>111</v>
      </c>
      <c r="EI198" s="5" t="s">
        <v>111</v>
      </c>
      <c r="EJ198" s="5" t="s">
        <v>114</v>
      </c>
      <c r="EK198" s="5">
        <v>13</v>
      </c>
      <c r="EL198" s="5">
        <v>26</v>
      </c>
    </row>
    <row r="199" spans="1:142" x14ac:dyDescent="0.25">
      <c r="A199" s="5">
        <v>77</v>
      </c>
      <c r="B199" s="5" t="s">
        <v>514</v>
      </c>
      <c r="C199" s="5" t="s">
        <v>515</v>
      </c>
      <c r="D199" s="6"/>
      <c r="E199" s="6"/>
      <c r="F199" s="47"/>
      <c r="G199" s="5">
        <v>0</v>
      </c>
      <c r="H199" s="5">
        <v>39</v>
      </c>
      <c r="I199" s="5">
        <v>8</v>
      </c>
      <c r="J199" s="5">
        <v>4</v>
      </c>
      <c r="K199" s="1">
        <v>12</v>
      </c>
      <c r="L199" s="1">
        <f t="shared" si="33"/>
        <v>4</v>
      </c>
      <c r="M199" s="7" t="s">
        <v>140</v>
      </c>
      <c r="N199" s="7" t="s">
        <v>516</v>
      </c>
      <c r="O199" s="5" t="s">
        <v>407</v>
      </c>
      <c r="P199" s="7" t="s">
        <v>110</v>
      </c>
      <c r="Q199" s="7" t="s">
        <v>110</v>
      </c>
      <c r="R199" s="7">
        <v>3</v>
      </c>
      <c r="S199" s="7">
        <v>2</v>
      </c>
      <c r="T199" s="7">
        <v>5.2378</v>
      </c>
      <c r="Z199" s="8"/>
      <c r="AA199" s="8">
        <v>1</v>
      </c>
      <c r="AB199" s="8"/>
      <c r="AC199" s="8"/>
      <c r="AD199" s="8">
        <v>1</v>
      </c>
      <c r="AE199" s="8"/>
      <c r="AO199" s="7">
        <v>2</v>
      </c>
      <c r="AP199" s="7">
        <f t="shared" ref="AP199:AP212" si="43">(AD199+AE199)*0.1+(AB199+AC199+Z199+AA199)*0.03</f>
        <v>0.13</v>
      </c>
      <c r="AQ199" s="7">
        <f t="shared" si="34"/>
        <v>23.076923076923077</v>
      </c>
      <c r="AR199" s="7">
        <f t="shared" si="35"/>
        <v>0</v>
      </c>
      <c r="AS199" s="7">
        <f t="shared" si="36"/>
        <v>0.5</v>
      </c>
      <c r="AT199" s="7">
        <f t="shared" si="37"/>
        <v>0</v>
      </c>
      <c r="AU199" s="7">
        <f t="shared" si="38"/>
        <v>0</v>
      </c>
      <c r="AV199" s="7">
        <f t="shared" si="39"/>
        <v>23.076923076923077</v>
      </c>
      <c r="AW199" s="7">
        <f t="shared" si="40"/>
        <v>0</v>
      </c>
      <c r="AX199" s="7">
        <f t="shared" si="41"/>
        <v>23.076923076923077</v>
      </c>
      <c r="AY199" s="7">
        <v>0</v>
      </c>
      <c r="AZ199" s="7">
        <v>9.5</v>
      </c>
      <c r="BA199" s="5">
        <v>6</v>
      </c>
      <c r="BB199" s="7">
        <v>0</v>
      </c>
      <c r="BC199" s="7">
        <v>24</v>
      </c>
      <c r="BD199" s="7">
        <f t="shared" si="42"/>
        <v>12</v>
      </c>
      <c r="BE199" s="5">
        <v>0</v>
      </c>
      <c r="BF199" s="5">
        <v>0</v>
      </c>
      <c r="BG199" s="5">
        <v>1400</v>
      </c>
      <c r="BH199" s="7">
        <v>30000</v>
      </c>
      <c r="BI199" s="7">
        <v>900</v>
      </c>
      <c r="BJ199" s="7">
        <v>18</v>
      </c>
      <c r="BM199" s="5">
        <v>1</v>
      </c>
      <c r="BY199" s="5">
        <v>1</v>
      </c>
      <c r="CU199" s="5">
        <v>2</v>
      </c>
      <c r="CV199" s="5">
        <v>2</v>
      </c>
      <c r="CW199" s="5">
        <v>0</v>
      </c>
      <c r="CX199" s="7">
        <v>8</v>
      </c>
      <c r="CY199" s="5">
        <v>4</v>
      </c>
      <c r="DA199" s="5">
        <v>1</v>
      </c>
      <c r="DD199" s="5">
        <v>365</v>
      </c>
      <c r="DF199" s="5">
        <v>1</v>
      </c>
      <c r="DH199" s="5">
        <v>365</v>
      </c>
      <c r="DJ199" s="5">
        <v>1</v>
      </c>
      <c r="DL199" s="5">
        <v>365</v>
      </c>
      <c r="DM199" s="5">
        <v>1</v>
      </c>
      <c r="DQ199" s="5">
        <v>1</v>
      </c>
      <c r="DT199" s="5">
        <v>3</v>
      </c>
      <c r="DU199" s="5">
        <v>3</v>
      </c>
      <c r="DV199" s="7">
        <v>142000</v>
      </c>
      <c r="DX199" s="7">
        <v>800</v>
      </c>
      <c r="DY199" s="7">
        <v>800</v>
      </c>
      <c r="EC199" s="5" t="s">
        <v>111</v>
      </c>
      <c r="ED199" s="5" t="s">
        <v>111</v>
      </c>
      <c r="EE199" s="5">
        <v>0</v>
      </c>
      <c r="EF199" s="5">
        <v>0</v>
      </c>
      <c r="EG199" s="5" t="s">
        <v>111</v>
      </c>
      <c r="EH199" s="5" t="s">
        <v>111</v>
      </c>
      <c r="EI199" s="5" t="s">
        <v>111</v>
      </c>
      <c r="EJ199" s="5" t="s">
        <v>114</v>
      </c>
      <c r="EK199" s="5">
        <v>14</v>
      </c>
      <c r="EL199" s="5">
        <v>26</v>
      </c>
    </row>
    <row r="200" spans="1:142" x14ac:dyDescent="0.25">
      <c r="A200" s="5">
        <v>78</v>
      </c>
      <c r="B200" s="5" t="s">
        <v>517</v>
      </c>
      <c r="C200" s="5" t="s">
        <v>518</v>
      </c>
      <c r="D200" s="6"/>
      <c r="E200" s="6"/>
      <c r="F200" s="47"/>
      <c r="G200" s="5">
        <v>0</v>
      </c>
      <c r="H200" s="5">
        <v>25</v>
      </c>
      <c r="I200" s="5">
        <v>2</v>
      </c>
      <c r="J200" s="5">
        <v>0</v>
      </c>
      <c r="K200" s="1">
        <v>10</v>
      </c>
      <c r="L200" s="1">
        <f t="shared" si="33"/>
        <v>3</v>
      </c>
      <c r="M200" s="7" t="s">
        <v>107</v>
      </c>
      <c r="N200" s="7" t="s">
        <v>108</v>
      </c>
      <c r="O200" s="5" t="s">
        <v>120</v>
      </c>
      <c r="P200" s="7" t="s">
        <v>110</v>
      </c>
      <c r="Q200" s="7" t="s">
        <v>110</v>
      </c>
      <c r="R200" s="7">
        <v>2</v>
      </c>
      <c r="S200" s="7">
        <v>2</v>
      </c>
      <c r="T200" s="7">
        <v>0.25287999999999999</v>
      </c>
      <c r="Z200" s="8"/>
      <c r="AA200" s="8"/>
      <c r="AB200" s="8">
        <v>1</v>
      </c>
      <c r="AC200" s="8"/>
      <c r="AD200" s="8"/>
      <c r="AE200" s="8"/>
      <c r="AO200" s="7">
        <v>1</v>
      </c>
      <c r="AP200" s="7">
        <f t="shared" si="43"/>
        <v>0.03</v>
      </c>
      <c r="AQ200" s="7">
        <f t="shared" si="34"/>
        <v>0</v>
      </c>
      <c r="AR200" s="7">
        <f t="shared" si="35"/>
        <v>0</v>
      </c>
      <c r="AS200" s="7">
        <f t="shared" si="36"/>
        <v>0</v>
      </c>
      <c r="AT200" s="7">
        <f t="shared" si="37"/>
        <v>100</v>
      </c>
      <c r="AU200" s="7">
        <f t="shared" si="38"/>
        <v>0</v>
      </c>
      <c r="AV200" s="7">
        <f t="shared" si="39"/>
        <v>0</v>
      </c>
      <c r="AW200" s="7">
        <f t="shared" si="40"/>
        <v>0</v>
      </c>
      <c r="AX200" s="7">
        <f t="shared" si="41"/>
        <v>0</v>
      </c>
      <c r="AY200" s="7">
        <v>0</v>
      </c>
      <c r="AZ200" s="7">
        <v>6</v>
      </c>
      <c r="BA200" s="5">
        <v>17</v>
      </c>
      <c r="BB200" s="7">
        <v>0</v>
      </c>
      <c r="BC200" s="7">
        <v>10</v>
      </c>
      <c r="BD200" s="7">
        <f t="shared" si="42"/>
        <v>10</v>
      </c>
      <c r="BE200" s="5">
        <v>0</v>
      </c>
      <c r="BF200" s="5">
        <v>0</v>
      </c>
      <c r="BG200" s="5">
        <v>600</v>
      </c>
      <c r="BH200" s="7">
        <v>30000</v>
      </c>
      <c r="BI200" s="7">
        <v>400</v>
      </c>
      <c r="BJ200" s="7">
        <v>8</v>
      </c>
      <c r="BX200" s="5">
        <v>1</v>
      </c>
      <c r="CU200" s="5">
        <v>6</v>
      </c>
      <c r="CV200" s="5">
        <v>2</v>
      </c>
      <c r="CW200" s="5">
        <v>0</v>
      </c>
      <c r="CX200" s="7">
        <v>8</v>
      </c>
      <c r="CY200" s="5">
        <v>4</v>
      </c>
      <c r="DA200" s="5">
        <v>1</v>
      </c>
      <c r="DC200" s="5">
        <v>1</v>
      </c>
      <c r="DD200" s="5">
        <v>365</v>
      </c>
      <c r="DF200" s="5">
        <v>2</v>
      </c>
      <c r="DG200" s="5">
        <v>1</v>
      </c>
      <c r="DH200" s="5">
        <v>365</v>
      </c>
      <c r="DJ200" s="5">
        <v>1</v>
      </c>
      <c r="DK200" s="5">
        <v>1</v>
      </c>
      <c r="DL200" s="5">
        <v>365</v>
      </c>
      <c r="DM200" s="5">
        <v>1</v>
      </c>
      <c r="DO200" s="5">
        <v>1</v>
      </c>
      <c r="DQ200" s="5">
        <v>1</v>
      </c>
      <c r="DS200" s="5">
        <v>1</v>
      </c>
      <c r="DT200" s="5">
        <v>3</v>
      </c>
      <c r="DU200" s="5">
        <v>1</v>
      </c>
      <c r="DX200" s="7">
        <v>650</v>
      </c>
      <c r="DY200" s="7">
        <v>700</v>
      </c>
      <c r="EC200" s="5" t="s">
        <v>111</v>
      </c>
      <c r="ED200" s="5" t="s">
        <v>111</v>
      </c>
      <c r="EE200" s="5">
        <v>0</v>
      </c>
      <c r="EF200" s="5">
        <v>0</v>
      </c>
      <c r="EG200" s="5" t="s">
        <v>111</v>
      </c>
      <c r="EH200" s="5" t="s">
        <v>111</v>
      </c>
      <c r="EI200" s="5" t="s">
        <v>111</v>
      </c>
      <c r="EJ200" s="5" t="s">
        <v>114</v>
      </c>
      <c r="EK200" s="5">
        <v>14</v>
      </c>
      <c r="EL200" s="5">
        <v>27</v>
      </c>
    </row>
    <row r="201" spans="1:142" x14ac:dyDescent="0.25">
      <c r="A201" s="5">
        <v>79</v>
      </c>
      <c r="B201" s="5" t="s">
        <v>519</v>
      </c>
      <c r="C201" s="5" t="s">
        <v>520</v>
      </c>
      <c r="D201" s="6"/>
      <c r="E201" s="6"/>
      <c r="F201" s="47"/>
      <c r="G201" s="5">
        <v>0</v>
      </c>
      <c r="H201" s="5">
        <v>21</v>
      </c>
      <c r="I201" s="5">
        <v>0</v>
      </c>
      <c r="J201" s="5">
        <v>0</v>
      </c>
      <c r="K201" s="1">
        <v>13</v>
      </c>
      <c r="L201" s="1">
        <f t="shared" si="33"/>
        <v>5</v>
      </c>
      <c r="M201" s="7" t="s">
        <v>140</v>
      </c>
      <c r="N201" s="7" t="s">
        <v>473</v>
      </c>
      <c r="O201" s="5" t="s">
        <v>340</v>
      </c>
      <c r="P201" s="7" t="s">
        <v>110</v>
      </c>
      <c r="Q201" s="7" t="s">
        <v>110</v>
      </c>
      <c r="R201" s="7">
        <v>3</v>
      </c>
      <c r="S201" s="7">
        <v>5</v>
      </c>
      <c r="T201" s="7"/>
      <c r="Z201" s="8">
        <v>1</v>
      </c>
      <c r="AA201" s="8"/>
      <c r="AB201" s="8"/>
      <c r="AC201" s="8"/>
      <c r="AD201" s="8"/>
      <c r="AE201" s="8">
        <v>1</v>
      </c>
      <c r="AO201" s="7">
        <v>2</v>
      </c>
      <c r="AP201" s="7">
        <f t="shared" si="43"/>
        <v>0.13</v>
      </c>
      <c r="AQ201" s="7">
        <f t="shared" si="34"/>
        <v>23.076923076923077</v>
      </c>
      <c r="AR201" s="7">
        <f t="shared" si="35"/>
        <v>0.5</v>
      </c>
      <c r="AS201" s="7">
        <f t="shared" si="36"/>
        <v>0</v>
      </c>
      <c r="AT201" s="7">
        <f t="shared" si="37"/>
        <v>0</v>
      </c>
      <c r="AU201" s="7">
        <f t="shared" si="38"/>
        <v>0</v>
      </c>
      <c r="AV201" s="7">
        <f t="shared" si="39"/>
        <v>0</v>
      </c>
      <c r="AW201" s="7">
        <f t="shared" si="40"/>
        <v>23.076923076923077</v>
      </c>
      <c r="AX201" s="7">
        <f t="shared" si="41"/>
        <v>23.076923076923077</v>
      </c>
      <c r="AY201" s="7">
        <v>0</v>
      </c>
      <c r="AZ201" s="7">
        <v>8.5</v>
      </c>
      <c r="BA201" s="5">
        <v>10</v>
      </c>
      <c r="BB201" s="7">
        <v>0.5</v>
      </c>
      <c r="BC201" s="7">
        <v>19</v>
      </c>
      <c r="BD201" s="7">
        <f t="shared" si="42"/>
        <v>9.5</v>
      </c>
      <c r="BE201" s="5">
        <v>1</v>
      </c>
      <c r="BF201" s="5">
        <v>150</v>
      </c>
      <c r="BG201" s="5">
        <v>1100</v>
      </c>
      <c r="BH201" s="7">
        <v>30000</v>
      </c>
      <c r="BI201" s="7">
        <v>700</v>
      </c>
      <c r="BJ201" s="7">
        <v>14</v>
      </c>
      <c r="BP201" s="5">
        <v>1</v>
      </c>
      <c r="BQ201" s="5">
        <v>1</v>
      </c>
      <c r="CU201" s="5">
        <v>6</v>
      </c>
      <c r="CV201" s="5">
        <v>2</v>
      </c>
      <c r="CW201" s="5">
        <v>0</v>
      </c>
      <c r="CX201" s="7">
        <v>8</v>
      </c>
      <c r="CY201" s="5">
        <v>4</v>
      </c>
      <c r="DA201" s="5">
        <v>1</v>
      </c>
      <c r="DD201" s="5">
        <v>365</v>
      </c>
      <c r="DF201" s="5">
        <v>1</v>
      </c>
      <c r="DH201" s="5">
        <v>365</v>
      </c>
      <c r="DJ201" s="5">
        <v>1</v>
      </c>
      <c r="DL201" s="5">
        <v>365</v>
      </c>
      <c r="DM201" s="5">
        <v>1</v>
      </c>
      <c r="DQ201" s="5">
        <v>1</v>
      </c>
      <c r="DT201" s="5">
        <v>3</v>
      </c>
      <c r="DU201" s="5">
        <v>2</v>
      </c>
      <c r="DX201" s="7">
        <v>800</v>
      </c>
      <c r="DY201" s="7">
        <v>900</v>
      </c>
      <c r="EC201" s="5" t="s">
        <v>111</v>
      </c>
      <c r="ED201" s="5" t="s">
        <v>111</v>
      </c>
      <c r="EE201" s="5">
        <v>0</v>
      </c>
      <c r="EF201" s="5">
        <v>0</v>
      </c>
      <c r="EG201" s="5" t="s">
        <v>111</v>
      </c>
      <c r="EH201" s="5" t="s">
        <v>111</v>
      </c>
      <c r="EI201" s="5" t="s">
        <v>111</v>
      </c>
      <c r="EJ201" s="5" t="s">
        <v>114</v>
      </c>
      <c r="EK201" s="5">
        <v>13</v>
      </c>
      <c r="EL201" s="5">
        <v>26</v>
      </c>
    </row>
    <row r="202" spans="1:142" x14ac:dyDescent="0.25">
      <c r="A202" s="5">
        <v>80</v>
      </c>
      <c r="B202" s="5" t="s">
        <v>521</v>
      </c>
      <c r="C202" s="5" t="s">
        <v>522</v>
      </c>
      <c r="D202" s="6"/>
      <c r="E202" s="6"/>
      <c r="F202" s="47"/>
      <c r="G202" s="5">
        <v>0</v>
      </c>
      <c r="H202" s="5">
        <v>30</v>
      </c>
      <c r="I202" s="5">
        <v>3</v>
      </c>
      <c r="J202" s="5">
        <v>1</v>
      </c>
      <c r="K202" s="1">
        <v>10</v>
      </c>
      <c r="L202" s="1">
        <f t="shared" si="33"/>
        <v>3</v>
      </c>
      <c r="M202" s="7" t="s">
        <v>107</v>
      </c>
      <c r="N202" s="7" t="s">
        <v>120</v>
      </c>
      <c r="O202" s="5" t="s">
        <v>340</v>
      </c>
      <c r="P202" s="7" t="s">
        <v>110</v>
      </c>
      <c r="Q202" s="7" t="s">
        <v>110</v>
      </c>
      <c r="R202" s="7">
        <v>2</v>
      </c>
      <c r="S202" s="7">
        <v>6</v>
      </c>
      <c r="T202" s="7">
        <v>0</v>
      </c>
      <c r="Z202" s="8"/>
      <c r="AA202" s="8"/>
      <c r="AB202" s="8"/>
      <c r="AC202" s="8">
        <v>1</v>
      </c>
      <c r="AD202" s="8"/>
      <c r="AE202" s="8"/>
      <c r="AO202" s="7">
        <v>1</v>
      </c>
      <c r="AP202" s="7">
        <f t="shared" si="43"/>
        <v>0.03</v>
      </c>
      <c r="AQ202" s="7">
        <f t="shared" si="34"/>
        <v>0</v>
      </c>
      <c r="AR202" s="7">
        <f t="shared" si="35"/>
        <v>0</v>
      </c>
      <c r="AS202" s="7">
        <f t="shared" si="36"/>
        <v>0</v>
      </c>
      <c r="AT202" s="7">
        <f t="shared" si="37"/>
        <v>0</v>
      </c>
      <c r="AU202" s="7">
        <f t="shared" si="38"/>
        <v>100</v>
      </c>
      <c r="AV202" s="7">
        <f t="shared" si="39"/>
        <v>0</v>
      </c>
      <c r="AW202" s="7">
        <f t="shared" si="40"/>
        <v>0</v>
      </c>
      <c r="AX202" s="7">
        <f t="shared" si="41"/>
        <v>100</v>
      </c>
      <c r="AY202" s="7">
        <v>0</v>
      </c>
      <c r="AZ202" s="7">
        <v>10</v>
      </c>
      <c r="BA202" s="5">
        <v>30</v>
      </c>
      <c r="BB202" s="7">
        <v>0</v>
      </c>
      <c r="BC202" s="7">
        <v>12</v>
      </c>
      <c r="BD202" s="7">
        <f t="shared" si="42"/>
        <v>12</v>
      </c>
      <c r="BE202" s="5">
        <v>0</v>
      </c>
      <c r="BF202" s="5">
        <v>0</v>
      </c>
      <c r="BG202" s="5">
        <v>700</v>
      </c>
      <c r="BH202" s="7">
        <v>30000</v>
      </c>
      <c r="BI202" s="7">
        <v>400</v>
      </c>
      <c r="BJ202" s="7">
        <v>8</v>
      </c>
      <c r="CA202" s="5">
        <v>1</v>
      </c>
      <c r="CU202" s="5">
        <v>6</v>
      </c>
      <c r="CV202" s="5">
        <v>2</v>
      </c>
      <c r="CW202" s="5">
        <v>0</v>
      </c>
      <c r="CX202" s="7">
        <v>8</v>
      </c>
      <c r="CY202" s="5">
        <v>4</v>
      </c>
      <c r="DA202" s="5">
        <v>1</v>
      </c>
      <c r="DD202" s="5">
        <v>365</v>
      </c>
      <c r="DF202" s="5">
        <v>1</v>
      </c>
      <c r="DH202" s="5">
        <v>365</v>
      </c>
      <c r="DJ202" s="5">
        <v>1</v>
      </c>
      <c r="DL202" s="5">
        <v>365</v>
      </c>
      <c r="DM202" s="5">
        <v>1</v>
      </c>
      <c r="DQ202" s="5">
        <v>1</v>
      </c>
      <c r="DT202" s="5">
        <v>3</v>
      </c>
      <c r="DU202" s="5">
        <v>1</v>
      </c>
      <c r="DX202" s="7">
        <v>650</v>
      </c>
      <c r="DY202" s="7">
        <v>800</v>
      </c>
      <c r="EC202" s="5" t="s">
        <v>111</v>
      </c>
      <c r="ED202" s="5" t="s">
        <v>111</v>
      </c>
      <c r="EE202" s="5">
        <v>0</v>
      </c>
      <c r="EF202" s="5">
        <v>0</v>
      </c>
      <c r="EG202" s="5" t="s">
        <v>111</v>
      </c>
      <c r="EH202" s="5" t="s">
        <v>111</v>
      </c>
      <c r="EI202" s="5" t="s">
        <v>111</v>
      </c>
      <c r="EJ202" s="5" t="s">
        <v>114</v>
      </c>
      <c r="EK202" s="5">
        <v>13</v>
      </c>
      <c r="EL202" s="5">
        <v>26</v>
      </c>
    </row>
    <row r="203" spans="1:142" x14ac:dyDescent="0.25">
      <c r="A203" s="5">
        <v>81</v>
      </c>
      <c r="B203" s="5" t="s">
        <v>523</v>
      </c>
      <c r="C203" s="5" t="s">
        <v>524</v>
      </c>
      <c r="D203" s="6"/>
      <c r="E203" s="6"/>
      <c r="F203" s="47"/>
      <c r="G203" s="5">
        <v>0</v>
      </c>
      <c r="H203" s="5">
        <v>60</v>
      </c>
      <c r="I203" s="5">
        <v>19</v>
      </c>
      <c r="J203" s="5">
        <v>15</v>
      </c>
      <c r="K203" s="1">
        <v>10</v>
      </c>
      <c r="L203" s="1">
        <f t="shared" si="33"/>
        <v>3</v>
      </c>
      <c r="M203" s="7" t="s">
        <v>140</v>
      </c>
      <c r="N203" s="7" t="s">
        <v>420</v>
      </c>
      <c r="O203" s="5" t="s">
        <v>120</v>
      </c>
      <c r="P203" s="7" t="s">
        <v>110</v>
      </c>
      <c r="Q203" s="7" t="s">
        <v>110</v>
      </c>
      <c r="R203" s="7">
        <v>1</v>
      </c>
      <c r="S203" s="7">
        <v>4</v>
      </c>
      <c r="T203" s="7">
        <v>0</v>
      </c>
      <c r="U203" s="5">
        <v>1</v>
      </c>
      <c r="Z203" s="8"/>
      <c r="AA203" s="8"/>
      <c r="AB203" s="8">
        <v>1</v>
      </c>
      <c r="AC203" s="8"/>
      <c r="AD203" s="8">
        <v>1</v>
      </c>
      <c r="AE203" s="8"/>
      <c r="AO203" s="7">
        <v>2</v>
      </c>
      <c r="AP203" s="7">
        <f t="shared" si="43"/>
        <v>0.13</v>
      </c>
      <c r="AQ203" s="7">
        <f t="shared" si="34"/>
        <v>0</v>
      </c>
      <c r="AR203" s="7">
        <f t="shared" si="35"/>
        <v>0</v>
      </c>
      <c r="AS203" s="7">
        <f t="shared" si="36"/>
        <v>0</v>
      </c>
      <c r="AT203" s="7">
        <f t="shared" si="37"/>
        <v>23.076923076923077</v>
      </c>
      <c r="AU203" s="7">
        <f t="shared" si="38"/>
        <v>0</v>
      </c>
      <c r="AV203" s="7">
        <f t="shared" si="39"/>
        <v>23.076923076923077</v>
      </c>
      <c r="AW203" s="7">
        <f t="shared" si="40"/>
        <v>0</v>
      </c>
      <c r="AX203" s="7">
        <f t="shared" si="41"/>
        <v>0</v>
      </c>
      <c r="AY203" s="7">
        <v>0</v>
      </c>
      <c r="AZ203" s="7">
        <v>15</v>
      </c>
      <c r="BA203" s="5">
        <v>3</v>
      </c>
      <c r="BB203" s="7">
        <v>0</v>
      </c>
      <c r="BC203" s="7">
        <v>35</v>
      </c>
      <c r="BD203" s="7">
        <f t="shared" si="42"/>
        <v>17.5</v>
      </c>
      <c r="BE203" s="5">
        <v>0</v>
      </c>
      <c r="BF203" s="5">
        <v>0</v>
      </c>
      <c r="BG203" s="5">
        <v>1900</v>
      </c>
      <c r="BH203" s="7">
        <v>30000</v>
      </c>
      <c r="BI203" s="7">
        <v>1200</v>
      </c>
      <c r="BJ203" s="7">
        <v>24</v>
      </c>
      <c r="BM203" s="5">
        <v>1</v>
      </c>
      <c r="BP203" s="5">
        <v>1</v>
      </c>
      <c r="BR203" s="5">
        <v>1</v>
      </c>
      <c r="CN203" s="5">
        <v>1</v>
      </c>
      <c r="CU203" s="5">
        <v>2</v>
      </c>
      <c r="CV203" s="5">
        <v>2</v>
      </c>
      <c r="CW203" s="5">
        <v>0</v>
      </c>
      <c r="CX203" s="7">
        <v>8</v>
      </c>
      <c r="CY203" s="5">
        <v>4</v>
      </c>
      <c r="DA203" s="5">
        <v>1</v>
      </c>
      <c r="DD203" s="5">
        <v>365</v>
      </c>
      <c r="DF203" s="5">
        <v>1</v>
      </c>
      <c r="DH203" s="5">
        <v>365</v>
      </c>
      <c r="DJ203" s="5">
        <v>1</v>
      </c>
      <c r="DL203" s="5">
        <v>365</v>
      </c>
      <c r="DM203" s="5">
        <v>1</v>
      </c>
      <c r="DQ203" s="5">
        <v>1</v>
      </c>
      <c r="DT203" s="5">
        <v>3</v>
      </c>
      <c r="DU203" s="5">
        <v>1</v>
      </c>
      <c r="DX203" s="7">
        <v>800</v>
      </c>
      <c r="DY203" s="7">
        <v>900</v>
      </c>
      <c r="EC203" s="5" t="s">
        <v>111</v>
      </c>
      <c r="ED203" s="5" t="s">
        <v>111</v>
      </c>
      <c r="EE203" s="5">
        <v>0</v>
      </c>
      <c r="EF203" s="5">
        <v>0</v>
      </c>
      <c r="EG203" s="5" t="s">
        <v>111</v>
      </c>
      <c r="EH203" s="5" t="s">
        <v>111</v>
      </c>
      <c r="EI203" s="5" t="s">
        <v>111</v>
      </c>
      <c r="EJ203" s="5" t="s">
        <v>114</v>
      </c>
      <c r="EK203" s="5">
        <v>14</v>
      </c>
      <c r="EL203" s="5">
        <v>27</v>
      </c>
    </row>
    <row r="204" spans="1:142" x14ac:dyDescent="0.25">
      <c r="A204" s="5">
        <v>82</v>
      </c>
      <c r="B204" s="5" t="s">
        <v>525</v>
      </c>
      <c r="C204" s="5" t="s">
        <v>526</v>
      </c>
      <c r="D204" s="6"/>
      <c r="E204" s="6"/>
      <c r="F204" s="47"/>
      <c r="G204" s="5">
        <v>0</v>
      </c>
      <c r="H204" s="5">
        <v>32</v>
      </c>
      <c r="I204" s="5">
        <v>4</v>
      </c>
      <c r="J204" s="5">
        <v>1</v>
      </c>
      <c r="K204" s="1">
        <v>12</v>
      </c>
      <c r="L204" s="1">
        <f t="shared" si="33"/>
        <v>4</v>
      </c>
      <c r="M204" s="7" t="s">
        <v>107</v>
      </c>
      <c r="N204" s="7" t="s">
        <v>352</v>
      </c>
      <c r="O204" s="5" t="s">
        <v>120</v>
      </c>
      <c r="P204" s="7" t="s">
        <v>110</v>
      </c>
      <c r="Q204" s="7" t="s">
        <v>110</v>
      </c>
      <c r="R204" s="7">
        <v>2</v>
      </c>
      <c r="S204" s="7">
        <v>5</v>
      </c>
      <c r="T204" s="7">
        <v>0.25287999999999999</v>
      </c>
      <c r="Z204" s="8"/>
      <c r="AA204" s="8">
        <v>1</v>
      </c>
      <c r="AB204" s="8"/>
      <c r="AC204" s="8"/>
      <c r="AD204" s="8"/>
      <c r="AE204" s="8"/>
      <c r="AO204" s="7">
        <v>1</v>
      </c>
      <c r="AP204" s="7">
        <f t="shared" si="43"/>
        <v>0.03</v>
      </c>
      <c r="AQ204" s="7">
        <f t="shared" si="34"/>
        <v>100</v>
      </c>
      <c r="AR204" s="7">
        <f t="shared" si="35"/>
        <v>0</v>
      </c>
      <c r="AS204" s="7">
        <f t="shared" si="36"/>
        <v>1</v>
      </c>
      <c r="AT204" s="7">
        <f t="shared" si="37"/>
        <v>0</v>
      </c>
      <c r="AU204" s="7">
        <f t="shared" si="38"/>
        <v>0</v>
      </c>
      <c r="AV204" s="7">
        <f t="shared" si="39"/>
        <v>0</v>
      </c>
      <c r="AW204" s="7">
        <f t="shared" si="40"/>
        <v>0</v>
      </c>
      <c r="AX204" s="7">
        <f t="shared" si="41"/>
        <v>100</v>
      </c>
      <c r="AY204" s="7">
        <v>0</v>
      </c>
      <c r="AZ204" s="7">
        <v>3</v>
      </c>
      <c r="BA204" s="5">
        <v>10</v>
      </c>
      <c r="BB204" s="7">
        <v>0.5</v>
      </c>
      <c r="BC204" s="7">
        <v>5</v>
      </c>
      <c r="BD204" s="7">
        <f t="shared" si="42"/>
        <v>5</v>
      </c>
      <c r="BE204" s="5">
        <v>0</v>
      </c>
      <c r="BF204" s="5">
        <v>0</v>
      </c>
      <c r="BG204" s="5">
        <v>300</v>
      </c>
      <c r="BH204" s="7">
        <v>15000</v>
      </c>
      <c r="BI204" s="7">
        <v>200</v>
      </c>
      <c r="BJ204" s="7">
        <v>4</v>
      </c>
      <c r="BP204" s="5">
        <v>1</v>
      </c>
      <c r="BT204" s="5">
        <v>1</v>
      </c>
      <c r="CH204" s="5">
        <v>1</v>
      </c>
      <c r="CU204" s="5">
        <v>2</v>
      </c>
      <c r="CV204" s="5">
        <v>2</v>
      </c>
      <c r="CW204" s="5">
        <v>0</v>
      </c>
      <c r="CX204" s="7">
        <v>8</v>
      </c>
      <c r="CY204" s="5">
        <v>2</v>
      </c>
      <c r="DA204" s="5">
        <v>1</v>
      </c>
      <c r="DD204" s="5">
        <v>365</v>
      </c>
      <c r="DF204" s="5">
        <v>2</v>
      </c>
      <c r="DH204" s="5">
        <v>365</v>
      </c>
      <c r="DJ204" s="5">
        <v>1</v>
      </c>
      <c r="DL204" s="5">
        <v>365</v>
      </c>
      <c r="DM204" s="5">
        <v>1</v>
      </c>
      <c r="DQ204" s="5">
        <v>1</v>
      </c>
      <c r="DT204" s="5">
        <v>3</v>
      </c>
      <c r="DU204" s="5">
        <v>1</v>
      </c>
      <c r="DX204" s="7">
        <v>650</v>
      </c>
      <c r="DY204" s="7">
        <v>800</v>
      </c>
      <c r="EC204" s="5" t="s">
        <v>111</v>
      </c>
      <c r="ED204" s="5" t="s">
        <v>111</v>
      </c>
      <c r="EE204" s="5">
        <v>0</v>
      </c>
      <c r="EF204" s="5">
        <v>0</v>
      </c>
      <c r="EG204" s="5" t="s">
        <v>111</v>
      </c>
      <c r="EH204" s="5" t="s">
        <v>111</v>
      </c>
      <c r="EI204" s="5" t="s">
        <v>111</v>
      </c>
      <c r="EJ204" s="5" t="s">
        <v>114</v>
      </c>
      <c r="EK204" s="5">
        <v>14</v>
      </c>
      <c r="EL204" s="5">
        <v>27</v>
      </c>
    </row>
    <row r="205" spans="1:142" x14ac:dyDescent="0.25">
      <c r="A205" s="5">
        <v>83</v>
      </c>
      <c r="B205" s="5" t="s">
        <v>527</v>
      </c>
      <c r="C205" s="5" t="s">
        <v>528</v>
      </c>
      <c r="D205" s="6"/>
      <c r="E205" s="6"/>
      <c r="F205" s="47"/>
      <c r="G205" s="5">
        <v>0</v>
      </c>
      <c r="H205" s="5">
        <v>21</v>
      </c>
      <c r="I205" s="5">
        <v>1</v>
      </c>
      <c r="J205" s="5">
        <v>0</v>
      </c>
      <c r="K205" s="1">
        <v>13</v>
      </c>
      <c r="L205" s="1">
        <f t="shared" si="33"/>
        <v>5</v>
      </c>
      <c r="M205" s="7" t="s">
        <v>140</v>
      </c>
      <c r="N205" s="7" t="s">
        <v>174</v>
      </c>
      <c r="O205" s="5" t="s">
        <v>120</v>
      </c>
      <c r="P205" s="7" t="s">
        <v>110</v>
      </c>
      <c r="Q205" s="7" t="s">
        <v>110</v>
      </c>
      <c r="R205" s="7">
        <v>3</v>
      </c>
      <c r="S205" s="7">
        <v>3</v>
      </c>
      <c r="T205" s="7">
        <v>0</v>
      </c>
      <c r="Z205" s="8"/>
      <c r="AA205" s="8"/>
      <c r="AB205" s="8"/>
      <c r="AC205" s="8">
        <v>1</v>
      </c>
      <c r="AD205" s="8"/>
      <c r="AE205" s="8"/>
      <c r="AO205" s="7">
        <v>1</v>
      </c>
      <c r="AP205" s="7">
        <f t="shared" si="43"/>
        <v>0.03</v>
      </c>
      <c r="AQ205" s="7">
        <f t="shared" si="34"/>
        <v>0</v>
      </c>
      <c r="AR205" s="7">
        <f t="shared" si="35"/>
        <v>0</v>
      </c>
      <c r="AS205" s="7">
        <f t="shared" si="36"/>
        <v>0</v>
      </c>
      <c r="AT205" s="7">
        <f t="shared" si="37"/>
        <v>0</v>
      </c>
      <c r="AU205" s="7">
        <f t="shared" si="38"/>
        <v>100</v>
      </c>
      <c r="AV205" s="7">
        <f t="shared" si="39"/>
        <v>0</v>
      </c>
      <c r="AW205" s="7">
        <f t="shared" si="40"/>
        <v>0</v>
      </c>
      <c r="AX205" s="7">
        <f t="shared" si="41"/>
        <v>100</v>
      </c>
      <c r="AY205" s="7">
        <v>0</v>
      </c>
      <c r="AZ205" s="7">
        <v>10</v>
      </c>
      <c r="BA205" s="5">
        <v>3</v>
      </c>
      <c r="BB205" s="7">
        <v>0</v>
      </c>
      <c r="BC205" s="7">
        <v>11</v>
      </c>
      <c r="BD205" s="7">
        <f t="shared" si="42"/>
        <v>11</v>
      </c>
      <c r="BE205" s="5">
        <v>0</v>
      </c>
      <c r="BF205" s="5">
        <v>0</v>
      </c>
      <c r="BG205" s="5">
        <v>600</v>
      </c>
      <c r="BH205" s="7">
        <v>15000</v>
      </c>
      <c r="BI205" s="7">
        <v>400</v>
      </c>
      <c r="BJ205" s="7">
        <v>8</v>
      </c>
      <c r="CA205" s="5">
        <v>1</v>
      </c>
      <c r="CU205" s="5">
        <v>2</v>
      </c>
      <c r="CV205" s="5">
        <v>2</v>
      </c>
      <c r="CW205" s="5">
        <v>0</v>
      </c>
      <c r="CX205" s="7">
        <v>8</v>
      </c>
      <c r="CY205" s="5">
        <v>2</v>
      </c>
      <c r="DA205" s="5">
        <v>1</v>
      </c>
      <c r="DD205" s="5">
        <v>365</v>
      </c>
      <c r="DF205" s="5">
        <v>1</v>
      </c>
      <c r="DH205" s="5">
        <v>365</v>
      </c>
      <c r="DJ205" s="5">
        <v>1</v>
      </c>
      <c r="DL205" s="5">
        <v>365</v>
      </c>
      <c r="DM205" s="5">
        <v>1</v>
      </c>
      <c r="DQ205" s="5">
        <v>1</v>
      </c>
      <c r="DT205" s="5">
        <v>3</v>
      </c>
      <c r="DU205" s="5">
        <v>2</v>
      </c>
      <c r="DX205" s="7">
        <v>650</v>
      </c>
      <c r="DY205" s="7">
        <v>700</v>
      </c>
      <c r="EC205" s="5" t="s">
        <v>111</v>
      </c>
      <c r="ED205" s="5" t="s">
        <v>111</v>
      </c>
      <c r="EE205" s="5">
        <v>0</v>
      </c>
      <c r="EF205" s="5">
        <v>0</v>
      </c>
      <c r="EG205" s="5" t="s">
        <v>111</v>
      </c>
      <c r="EH205" s="5" t="s">
        <v>111</v>
      </c>
      <c r="EI205" s="5" t="s">
        <v>111</v>
      </c>
      <c r="EJ205" s="5" t="s">
        <v>114</v>
      </c>
      <c r="EK205" s="5">
        <v>13</v>
      </c>
      <c r="EL205" s="5">
        <v>27</v>
      </c>
    </row>
    <row r="206" spans="1:142" x14ac:dyDescent="0.25">
      <c r="A206" s="5">
        <v>84</v>
      </c>
      <c r="B206" s="5" t="s">
        <v>529</v>
      </c>
      <c r="C206" s="5" t="s">
        <v>530</v>
      </c>
      <c r="D206" s="6"/>
      <c r="E206" s="6"/>
      <c r="F206" s="47"/>
      <c r="G206" s="5">
        <v>0</v>
      </c>
      <c r="H206" s="5">
        <v>33</v>
      </c>
      <c r="I206" s="5">
        <v>4</v>
      </c>
      <c r="J206" s="5">
        <v>0</v>
      </c>
      <c r="K206" s="1">
        <v>10</v>
      </c>
      <c r="L206" s="1">
        <f t="shared" si="33"/>
        <v>3</v>
      </c>
      <c r="M206" s="7" t="s">
        <v>107</v>
      </c>
      <c r="N206" s="7" t="s">
        <v>120</v>
      </c>
      <c r="O206" s="5" t="s">
        <v>340</v>
      </c>
      <c r="P206" s="7" t="s">
        <v>110</v>
      </c>
      <c r="Q206" s="7" t="s">
        <v>110</v>
      </c>
      <c r="R206" s="7">
        <v>2</v>
      </c>
      <c r="S206" s="7">
        <v>6</v>
      </c>
      <c r="T206" s="7">
        <v>0</v>
      </c>
      <c r="Z206" s="8"/>
      <c r="AA206" s="8">
        <v>1</v>
      </c>
      <c r="AB206" s="8"/>
      <c r="AC206" s="8"/>
      <c r="AD206" s="8"/>
      <c r="AE206" s="8"/>
      <c r="AO206" s="7">
        <v>1</v>
      </c>
      <c r="AP206" s="7">
        <f t="shared" si="43"/>
        <v>0.03</v>
      </c>
      <c r="AQ206" s="7">
        <f t="shared" si="34"/>
        <v>100</v>
      </c>
      <c r="AR206" s="7">
        <f t="shared" si="35"/>
        <v>0</v>
      </c>
      <c r="AS206" s="7">
        <f t="shared" si="36"/>
        <v>1</v>
      </c>
      <c r="AT206" s="7">
        <f t="shared" si="37"/>
        <v>0</v>
      </c>
      <c r="AU206" s="7">
        <f t="shared" si="38"/>
        <v>0</v>
      </c>
      <c r="AV206" s="7">
        <f t="shared" si="39"/>
        <v>0</v>
      </c>
      <c r="AW206" s="7">
        <f t="shared" si="40"/>
        <v>0</v>
      </c>
      <c r="AX206" s="7">
        <f t="shared" si="41"/>
        <v>100</v>
      </c>
      <c r="AY206" s="7">
        <v>0</v>
      </c>
      <c r="AZ206" s="7">
        <v>3</v>
      </c>
      <c r="BA206" s="5">
        <v>22</v>
      </c>
      <c r="BB206" s="7">
        <v>0</v>
      </c>
      <c r="BC206" s="7">
        <v>6</v>
      </c>
      <c r="BD206" s="7">
        <f t="shared" si="42"/>
        <v>6</v>
      </c>
      <c r="BE206" s="5">
        <v>0</v>
      </c>
      <c r="BF206" s="5">
        <v>0</v>
      </c>
      <c r="BG206" s="5">
        <v>400</v>
      </c>
      <c r="BH206" s="7">
        <v>15000</v>
      </c>
      <c r="BI206" s="7">
        <v>200</v>
      </c>
      <c r="BJ206" s="7">
        <v>4</v>
      </c>
      <c r="CU206" s="5">
        <v>2</v>
      </c>
      <c r="CV206" s="5">
        <v>2</v>
      </c>
      <c r="CW206" s="5">
        <v>0</v>
      </c>
      <c r="CX206" s="7">
        <v>8</v>
      </c>
      <c r="CY206" s="5">
        <v>2</v>
      </c>
      <c r="DA206" s="5">
        <v>1</v>
      </c>
      <c r="DD206" s="5">
        <v>365</v>
      </c>
      <c r="DF206" s="5">
        <v>1</v>
      </c>
      <c r="DH206" s="5">
        <v>365</v>
      </c>
      <c r="DJ206" s="5">
        <v>1</v>
      </c>
      <c r="DL206" s="5">
        <v>365</v>
      </c>
      <c r="DM206" s="5">
        <v>1</v>
      </c>
      <c r="DQ206" s="5">
        <v>1</v>
      </c>
      <c r="DT206" s="5">
        <v>3</v>
      </c>
      <c r="DU206" s="5">
        <v>1</v>
      </c>
      <c r="DX206" s="7">
        <v>650</v>
      </c>
      <c r="DY206" s="7">
        <v>800</v>
      </c>
      <c r="EC206" s="5" t="s">
        <v>111</v>
      </c>
      <c r="ED206" s="5" t="s">
        <v>111</v>
      </c>
      <c r="EE206" s="5">
        <v>0</v>
      </c>
      <c r="EF206" s="5">
        <v>0</v>
      </c>
      <c r="EG206" s="5" t="s">
        <v>111</v>
      </c>
      <c r="EH206" s="5" t="s">
        <v>111</v>
      </c>
      <c r="EI206" s="5" t="s">
        <v>111</v>
      </c>
      <c r="EJ206" s="5" t="s">
        <v>114</v>
      </c>
      <c r="EK206" s="5">
        <v>13</v>
      </c>
      <c r="EL206" s="5">
        <v>26</v>
      </c>
    </row>
    <row r="207" spans="1:142" x14ac:dyDescent="0.25">
      <c r="A207" s="5">
        <v>85</v>
      </c>
      <c r="B207" s="5" t="s">
        <v>531</v>
      </c>
      <c r="C207" s="5" t="s">
        <v>532</v>
      </c>
      <c r="D207" s="6"/>
      <c r="E207" s="6"/>
      <c r="F207" s="47"/>
      <c r="G207" s="5">
        <v>0</v>
      </c>
      <c r="H207" s="5">
        <v>47</v>
      </c>
      <c r="I207" s="5">
        <v>9</v>
      </c>
      <c r="J207" s="5">
        <v>6</v>
      </c>
      <c r="K207" s="1">
        <v>5</v>
      </c>
      <c r="L207" s="1">
        <f t="shared" si="33"/>
        <v>1</v>
      </c>
      <c r="M207" s="7" t="s">
        <v>140</v>
      </c>
      <c r="N207" s="7" t="s">
        <v>120</v>
      </c>
      <c r="O207" s="5" t="s">
        <v>340</v>
      </c>
      <c r="P207" s="7" t="s">
        <v>110</v>
      </c>
      <c r="Q207" s="7" t="s">
        <v>110</v>
      </c>
      <c r="R207" s="7">
        <v>1</v>
      </c>
      <c r="S207" s="7">
        <v>6</v>
      </c>
      <c r="T207" s="7">
        <v>0</v>
      </c>
      <c r="Z207" s="8"/>
      <c r="AA207" s="8">
        <v>1</v>
      </c>
      <c r="AB207" s="8"/>
      <c r="AC207" s="8"/>
      <c r="AD207" s="8">
        <v>1</v>
      </c>
      <c r="AE207" s="8"/>
      <c r="AO207" s="7">
        <v>2</v>
      </c>
      <c r="AP207" s="7">
        <f t="shared" si="43"/>
        <v>0.13</v>
      </c>
      <c r="AQ207" s="7">
        <f t="shared" si="34"/>
        <v>23.076923076923077</v>
      </c>
      <c r="AR207" s="7">
        <f t="shared" si="35"/>
        <v>0</v>
      </c>
      <c r="AS207" s="7">
        <f t="shared" si="36"/>
        <v>0.5</v>
      </c>
      <c r="AT207" s="7">
        <f t="shared" si="37"/>
        <v>0</v>
      </c>
      <c r="AU207" s="7">
        <f t="shared" si="38"/>
        <v>0</v>
      </c>
      <c r="AV207" s="7">
        <f t="shared" si="39"/>
        <v>23.076923076923077</v>
      </c>
      <c r="AW207" s="7">
        <f t="shared" si="40"/>
        <v>0</v>
      </c>
      <c r="AX207" s="7">
        <f t="shared" si="41"/>
        <v>23.076923076923077</v>
      </c>
      <c r="AY207" s="7">
        <v>0</v>
      </c>
      <c r="AZ207" s="7">
        <v>11</v>
      </c>
      <c r="BA207" s="5">
        <v>11</v>
      </c>
      <c r="BB207" s="7">
        <v>0</v>
      </c>
      <c r="BC207" s="7">
        <v>26</v>
      </c>
      <c r="BD207" s="7">
        <f t="shared" si="42"/>
        <v>13</v>
      </c>
      <c r="BE207" s="5">
        <v>0</v>
      </c>
      <c r="BF207" s="5">
        <v>0</v>
      </c>
      <c r="BG207" s="5">
        <v>1500</v>
      </c>
      <c r="BH207" s="7">
        <v>30000</v>
      </c>
      <c r="BI207" s="7">
        <v>900</v>
      </c>
      <c r="BJ207" s="7">
        <v>18</v>
      </c>
      <c r="BM207" s="5">
        <v>1</v>
      </c>
      <c r="BZ207" s="5">
        <v>1</v>
      </c>
      <c r="CU207" s="5">
        <v>2</v>
      </c>
      <c r="CV207" s="5">
        <v>2</v>
      </c>
      <c r="CW207" s="5">
        <v>0</v>
      </c>
      <c r="CX207" s="7">
        <v>8</v>
      </c>
      <c r="CY207" s="5">
        <v>4</v>
      </c>
      <c r="DA207" s="5">
        <v>1</v>
      </c>
      <c r="DD207" s="5">
        <v>365</v>
      </c>
      <c r="DF207" s="5">
        <v>1</v>
      </c>
      <c r="DH207" s="5">
        <v>365</v>
      </c>
      <c r="DJ207" s="5">
        <v>1</v>
      </c>
      <c r="DL207" s="5">
        <v>365</v>
      </c>
      <c r="DM207" s="5">
        <v>1</v>
      </c>
      <c r="DQ207" s="5">
        <v>1</v>
      </c>
      <c r="DT207" s="5">
        <v>3</v>
      </c>
      <c r="DU207" s="5">
        <v>2</v>
      </c>
      <c r="DX207" s="7">
        <v>800</v>
      </c>
      <c r="DY207" s="7">
        <v>900</v>
      </c>
      <c r="EC207" s="5" t="s">
        <v>111</v>
      </c>
      <c r="ED207" s="5" t="s">
        <v>111</v>
      </c>
      <c r="EE207" s="5">
        <v>0</v>
      </c>
      <c r="EF207" s="5">
        <v>0</v>
      </c>
      <c r="EG207" s="5" t="s">
        <v>111</v>
      </c>
      <c r="EH207" s="5" t="s">
        <v>111</v>
      </c>
      <c r="EI207" s="5" t="s">
        <v>111</v>
      </c>
      <c r="EJ207" s="5" t="s">
        <v>114</v>
      </c>
      <c r="EK207" s="5">
        <v>13</v>
      </c>
      <c r="EL207" s="5">
        <v>26</v>
      </c>
    </row>
    <row r="208" spans="1:142" x14ac:dyDescent="0.25">
      <c r="A208" s="5">
        <v>86</v>
      </c>
      <c r="B208" s="5" t="s">
        <v>533</v>
      </c>
      <c r="C208" s="5" t="s">
        <v>534</v>
      </c>
      <c r="D208" s="6"/>
      <c r="E208" s="6"/>
      <c r="F208" s="47"/>
      <c r="G208" s="5">
        <v>0</v>
      </c>
      <c r="H208" s="5">
        <v>34</v>
      </c>
      <c r="I208" s="5">
        <v>6</v>
      </c>
      <c r="J208" s="5">
        <v>2</v>
      </c>
      <c r="K208" s="1">
        <v>8</v>
      </c>
      <c r="L208" s="1">
        <f t="shared" si="33"/>
        <v>2</v>
      </c>
      <c r="M208" s="7" t="s">
        <v>107</v>
      </c>
      <c r="N208" s="7" t="s">
        <v>493</v>
      </c>
      <c r="O208" s="5" t="s">
        <v>340</v>
      </c>
      <c r="P208" s="7" t="s">
        <v>110</v>
      </c>
      <c r="Q208" s="7" t="s">
        <v>110</v>
      </c>
      <c r="R208" s="7">
        <v>3</v>
      </c>
      <c r="S208" s="7">
        <v>5</v>
      </c>
      <c r="T208" s="7">
        <v>2.5882000000000001</v>
      </c>
      <c r="Z208" s="8"/>
      <c r="AA208" s="8"/>
      <c r="AB208" s="8"/>
      <c r="AC208" s="8">
        <v>1</v>
      </c>
      <c r="AD208" s="8"/>
      <c r="AE208" s="8"/>
      <c r="AO208" s="7">
        <v>1</v>
      </c>
      <c r="AP208" s="7">
        <f t="shared" si="43"/>
        <v>0.03</v>
      </c>
      <c r="AQ208" s="7">
        <f t="shared" si="34"/>
        <v>0</v>
      </c>
      <c r="AR208" s="7">
        <f t="shared" si="35"/>
        <v>0</v>
      </c>
      <c r="AS208" s="7">
        <f t="shared" si="36"/>
        <v>0</v>
      </c>
      <c r="AT208" s="7">
        <f t="shared" si="37"/>
        <v>0</v>
      </c>
      <c r="AU208" s="7">
        <f t="shared" si="38"/>
        <v>100</v>
      </c>
      <c r="AV208" s="7">
        <f t="shared" si="39"/>
        <v>0</v>
      </c>
      <c r="AW208" s="7">
        <f t="shared" si="40"/>
        <v>0</v>
      </c>
      <c r="AX208" s="7">
        <f t="shared" si="41"/>
        <v>100</v>
      </c>
      <c r="AY208" s="7">
        <v>0</v>
      </c>
      <c r="AZ208" s="7">
        <v>11</v>
      </c>
      <c r="BA208" s="5">
        <v>12</v>
      </c>
      <c r="BB208" s="7">
        <v>0</v>
      </c>
      <c r="BC208" s="7">
        <v>16</v>
      </c>
      <c r="BD208" s="7">
        <f t="shared" si="42"/>
        <v>16</v>
      </c>
      <c r="BE208" s="5">
        <v>0</v>
      </c>
      <c r="BF208" s="5">
        <v>0</v>
      </c>
      <c r="BG208" s="5">
        <v>900</v>
      </c>
      <c r="BH208" s="7">
        <v>15000</v>
      </c>
      <c r="BI208" s="7">
        <v>600</v>
      </c>
      <c r="BJ208" s="7">
        <v>12</v>
      </c>
      <c r="CA208" s="5">
        <v>1</v>
      </c>
      <c r="CU208" s="5">
        <v>2</v>
      </c>
      <c r="CV208" s="5">
        <v>2</v>
      </c>
      <c r="CW208" s="5">
        <v>0</v>
      </c>
      <c r="CX208" s="7">
        <v>8</v>
      </c>
      <c r="CY208" s="5">
        <v>2</v>
      </c>
      <c r="DA208" s="5">
        <v>1</v>
      </c>
      <c r="DC208" s="5">
        <v>1</v>
      </c>
      <c r="DD208" s="5">
        <v>365</v>
      </c>
      <c r="DF208" s="5">
        <v>1</v>
      </c>
      <c r="DG208" s="5">
        <v>1</v>
      </c>
      <c r="DH208" s="5">
        <v>365</v>
      </c>
      <c r="DJ208" s="5">
        <v>1</v>
      </c>
      <c r="DK208" s="5">
        <v>1</v>
      </c>
      <c r="DL208" s="5">
        <v>365</v>
      </c>
      <c r="DM208" s="5">
        <v>1</v>
      </c>
      <c r="DO208" s="5">
        <v>1</v>
      </c>
      <c r="DQ208" s="5">
        <v>1</v>
      </c>
      <c r="DS208" s="5">
        <v>1</v>
      </c>
      <c r="DT208" s="5">
        <v>3</v>
      </c>
      <c r="DU208" s="5">
        <v>3</v>
      </c>
      <c r="DV208" s="7">
        <v>96000</v>
      </c>
      <c r="DX208" s="7">
        <v>650</v>
      </c>
      <c r="DY208" s="7">
        <v>700</v>
      </c>
      <c r="EC208" s="5" t="s">
        <v>111</v>
      </c>
      <c r="ED208" s="5" t="s">
        <v>111</v>
      </c>
      <c r="EE208" s="5">
        <v>0</v>
      </c>
      <c r="EF208" s="5">
        <v>0</v>
      </c>
      <c r="EG208" s="5" t="s">
        <v>111</v>
      </c>
      <c r="EH208" s="5" t="s">
        <v>111</v>
      </c>
      <c r="EI208" s="5" t="s">
        <v>111</v>
      </c>
      <c r="EJ208" s="5" t="s">
        <v>114</v>
      </c>
      <c r="EK208" s="5">
        <v>14</v>
      </c>
      <c r="EL208" s="5">
        <v>27</v>
      </c>
    </row>
    <row r="209" spans="1:142" x14ac:dyDescent="0.25">
      <c r="A209" s="5">
        <v>87</v>
      </c>
      <c r="B209" s="5" t="s">
        <v>535</v>
      </c>
      <c r="C209" s="5" t="s">
        <v>536</v>
      </c>
      <c r="D209" s="6"/>
      <c r="E209" s="6"/>
      <c r="F209" s="47"/>
      <c r="G209" s="5">
        <v>0</v>
      </c>
      <c r="H209" s="5">
        <v>40</v>
      </c>
      <c r="I209" s="5">
        <v>8</v>
      </c>
      <c r="J209" s="5">
        <v>4</v>
      </c>
      <c r="K209" s="1">
        <v>8</v>
      </c>
      <c r="L209" s="1">
        <f t="shared" si="33"/>
        <v>2</v>
      </c>
      <c r="M209" s="7" t="s">
        <v>140</v>
      </c>
      <c r="N209" s="7" t="s">
        <v>463</v>
      </c>
      <c r="O209" s="5" t="s">
        <v>340</v>
      </c>
      <c r="P209" s="7" t="s">
        <v>110</v>
      </c>
      <c r="Q209" s="7" t="s">
        <v>110</v>
      </c>
      <c r="R209" s="7">
        <v>2</v>
      </c>
      <c r="S209" s="7">
        <v>2</v>
      </c>
      <c r="T209" s="7">
        <v>0</v>
      </c>
      <c r="Z209" s="8"/>
      <c r="AA209" s="8">
        <v>1</v>
      </c>
      <c r="AB209" s="8">
        <v>1</v>
      </c>
      <c r="AC209" s="8"/>
      <c r="AD209" s="8"/>
      <c r="AE209" s="8"/>
      <c r="AO209" s="7">
        <v>2</v>
      </c>
      <c r="AP209" s="7">
        <f t="shared" si="43"/>
        <v>0.06</v>
      </c>
      <c r="AQ209" s="7">
        <f t="shared" si="34"/>
        <v>50</v>
      </c>
      <c r="AR209" s="7">
        <f t="shared" si="35"/>
        <v>0</v>
      </c>
      <c r="AS209" s="7">
        <f t="shared" si="36"/>
        <v>0.5</v>
      </c>
      <c r="AT209" s="7">
        <f t="shared" si="37"/>
        <v>50</v>
      </c>
      <c r="AU209" s="7">
        <f t="shared" si="38"/>
        <v>0</v>
      </c>
      <c r="AV209" s="7">
        <f t="shared" si="39"/>
        <v>0</v>
      </c>
      <c r="AW209" s="7">
        <f t="shared" si="40"/>
        <v>0</v>
      </c>
      <c r="AX209" s="7">
        <f t="shared" si="41"/>
        <v>50</v>
      </c>
      <c r="AY209" s="7">
        <v>0</v>
      </c>
      <c r="AZ209" s="7">
        <v>6</v>
      </c>
      <c r="BA209" s="5">
        <v>8</v>
      </c>
      <c r="BB209" s="7">
        <v>0.5</v>
      </c>
      <c r="BC209" s="7">
        <v>18</v>
      </c>
      <c r="BD209" s="7">
        <f t="shared" si="42"/>
        <v>9</v>
      </c>
      <c r="BE209" s="5">
        <v>0</v>
      </c>
      <c r="BF209" s="5">
        <v>0</v>
      </c>
      <c r="BG209" s="5">
        <v>1100</v>
      </c>
      <c r="BH209" s="7">
        <v>30000</v>
      </c>
      <c r="BI209" s="7">
        <v>600</v>
      </c>
      <c r="BJ209" s="7">
        <v>12</v>
      </c>
      <c r="BP209" s="5">
        <v>1</v>
      </c>
      <c r="BR209" s="5">
        <v>1</v>
      </c>
      <c r="BT209" s="5">
        <v>1</v>
      </c>
      <c r="CN209" s="5">
        <v>1</v>
      </c>
      <c r="CU209" s="5">
        <v>6</v>
      </c>
      <c r="CV209" s="5">
        <v>2</v>
      </c>
      <c r="CW209" s="5">
        <v>0</v>
      </c>
      <c r="CX209" s="7">
        <v>8</v>
      </c>
      <c r="CY209" s="5">
        <v>4</v>
      </c>
      <c r="DA209" s="5">
        <v>1</v>
      </c>
      <c r="DC209" s="5">
        <v>2</v>
      </c>
      <c r="DD209" s="5">
        <v>365</v>
      </c>
      <c r="DF209" s="5">
        <v>2</v>
      </c>
      <c r="DH209" s="5">
        <v>365</v>
      </c>
      <c r="DJ209" s="5">
        <v>1</v>
      </c>
      <c r="DK209" s="5">
        <v>1</v>
      </c>
      <c r="DL209" s="5">
        <v>365</v>
      </c>
      <c r="DM209" s="5">
        <v>1</v>
      </c>
      <c r="DO209" s="5">
        <v>2</v>
      </c>
      <c r="DQ209" s="5">
        <v>1</v>
      </c>
      <c r="DS209" s="5">
        <v>1</v>
      </c>
      <c r="DT209" s="5">
        <v>3</v>
      </c>
      <c r="DU209" s="5">
        <v>2</v>
      </c>
      <c r="DX209" s="7">
        <v>800</v>
      </c>
      <c r="DY209" s="7">
        <v>800</v>
      </c>
      <c r="EC209" s="5" t="s">
        <v>111</v>
      </c>
      <c r="ED209" s="5" t="s">
        <v>111</v>
      </c>
      <c r="EE209" s="5">
        <v>0</v>
      </c>
      <c r="EF209" s="5">
        <v>0</v>
      </c>
      <c r="EG209" s="5" t="s">
        <v>111</v>
      </c>
      <c r="EH209" s="5" t="s">
        <v>111</v>
      </c>
      <c r="EI209" s="5" t="s">
        <v>111</v>
      </c>
      <c r="EJ209" s="5" t="s">
        <v>114</v>
      </c>
      <c r="EK209" s="5">
        <v>13</v>
      </c>
      <c r="EL209" s="5">
        <v>27</v>
      </c>
    </row>
    <row r="210" spans="1:142" x14ac:dyDescent="0.25">
      <c r="A210" s="5">
        <v>88</v>
      </c>
      <c r="B210" s="5" t="s">
        <v>537</v>
      </c>
      <c r="C210" s="5" t="s">
        <v>538</v>
      </c>
      <c r="D210" s="6"/>
      <c r="E210" s="6"/>
      <c r="F210" s="47"/>
      <c r="G210" s="5">
        <v>0</v>
      </c>
      <c r="H210" s="5">
        <v>45</v>
      </c>
      <c r="I210" s="5">
        <v>11</v>
      </c>
      <c r="J210" s="5">
        <v>8</v>
      </c>
      <c r="K210" s="1">
        <v>8</v>
      </c>
      <c r="L210" s="1">
        <f t="shared" si="33"/>
        <v>2</v>
      </c>
      <c r="M210" s="7" t="s">
        <v>107</v>
      </c>
      <c r="N210" s="7" t="s">
        <v>120</v>
      </c>
      <c r="O210" s="5" t="s">
        <v>340</v>
      </c>
      <c r="P210" s="7" t="s">
        <v>110</v>
      </c>
      <c r="Q210" s="7" t="s">
        <v>110</v>
      </c>
      <c r="R210" s="7">
        <v>2</v>
      </c>
      <c r="S210" s="7">
        <v>3</v>
      </c>
      <c r="T210" s="7">
        <v>0</v>
      </c>
      <c r="Z210" s="8"/>
      <c r="AA210" s="8"/>
      <c r="AB210" s="8"/>
      <c r="AC210" s="8">
        <v>1</v>
      </c>
      <c r="AD210" s="8"/>
      <c r="AE210" s="8"/>
      <c r="AO210" s="7">
        <v>1</v>
      </c>
      <c r="AP210" s="7">
        <f t="shared" si="43"/>
        <v>0.03</v>
      </c>
      <c r="AQ210" s="7">
        <f t="shared" si="34"/>
        <v>0</v>
      </c>
      <c r="AR210" s="7">
        <f t="shared" si="35"/>
        <v>0</v>
      </c>
      <c r="AS210" s="7">
        <f t="shared" si="36"/>
        <v>0</v>
      </c>
      <c r="AT210" s="7">
        <f t="shared" si="37"/>
        <v>0</v>
      </c>
      <c r="AU210" s="7">
        <f t="shared" si="38"/>
        <v>100</v>
      </c>
      <c r="AV210" s="7">
        <f t="shared" si="39"/>
        <v>0</v>
      </c>
      <c r="AW210" s="7">
        <f t="shared" si="40"/>
        <v>0</v>
      </c>
      <c r="AX210" s="7">
        <f t="shared" si="41"/>
        <v>100</v>
      </c>
      <c r="AY210" s="7">
        <v>0</v>
      </c>
      <c r="AZ210" s="7">
        <v>8</v>
      </c>
      <c r="BA210" s="5">
        <v>6</v>
      </c>
      <c r="BB210" s="7">
        <v>0</v>
      </c>
      <c r="BC210" s="7">
        <v>12</v>
      </c>
      <c r="BD210" s="7">
        <f t="shared" si="42"/>
        <v>12</v>
      </c>
      <c r="BE210" s="5">
        <v>0</v>
      </c>
      <c r="BF210" s="5">
        <v>0</v>
      </c>
      <c r="BG210" s="5">
        <v>700</v>
      </c>
      <c r="BH210" s="7">
        <v>15000</v>
      </c>
      <c r="BI210" s="7">
        <v>400</v>
      </c>
      <c r="BJ210" s="7">
        <v>8</v>
      </c>
      <c r="CA210" s="5">
        <v>1</v>
      </c>
      <c r="CU210" s="5">
        <v>6</v>
      </c>
      <c r="CV210" s="5">
        <v>2</v>
      </c>
      <c r="CW210" s="5">
        <v>0</v>
      </c>
      <c r="CX210" s="7">
        <v>8</v>
      </c>
      <c r="CY210" s="5">
        <v>2</v>
      </c>
      <c r="DA210" s="5">
        <v>1</v>
      </c>
      <c r="DC210" s="5">
        <v>1</v>
      </c>
      <c r="DD210" s="5">
        <v>365</v>
      </c>
      <c r="DF210" s="5">
        <v>1</v>
      </c>
      <c r="DG210" s="5">
        <v>1</v>
      </c>
      <c r="DH210" s="5">
        <v>365</v>
      </c>
      <c r="DJ210" s="5">
        <v>1</v>
      </c>
      <c r="DK210" s="5">
        <v>1</v>
      </c>
      <c r="DL210" s="5">
        <v>365</v>
      </c>
      <c r="DM210" s="5">
        <v>1</v>
      </c>
      <c r="DO210" s="5">
        <v>1</v>
      </c>
      <c r="DQ210" s="5">
        <v>1</v>
      </c>
      <c r="DS210" s="5">
        <v>1</v>
      </c>
      <c r="DT210" s="5">
        <v>3</v>
      </c>
      <c r="DU210" s="5">
        <v>1</v>
      </c>
      <c r="DX210" s="7">
        <v>650</v>
      </c>
      <c r="DY210" s="7">
        <v>700</v>
      </c>
      <c r="EC210" s="5" t="s">
        <v>111</v>
      </c>
      <c r="ED210" s="5" t="s">
        <v>111</v>
      </c>
      <c r="EE210" s="5">
        <v>0</v>
      </c>
      <c r="EF210" s="5">
        <v>0</v>
      </c>
      <c r="EG210" s="5" t="s">
        <v>111</v>
      </c>
      <c r="EH210" s="5" t="s">
        <v>111</v>
      </c>
      <c r="EI210" s="5" t="s">
        <v>111</v>
      </c>
      <c r="EJ210" s="5" t="s">
        <v>114</v>
      </c>
      <c r="EK210" s="5">
        <v>14</v>
      </c>
      <c r="EL210" s="5">
        <v>26</v>
      </c>
    </row>
    <row r="211" spans="1:142" x14ac:dyDescent="0.25">
      <c r="A211" s="5">
        <v>89</v>
      </c>
      <c r="B211" s="5" t="s">
        <v>539</v>
      </c>
      <c r="C211" s="5" t="s">
        <v>540</v>
      </c>
      <c r="D211" s="6"/>
      <c r="E211" s="6"/>
      <c r="F211" s="47"/>
      <c r="G211" s="5">
        <v>0</v>
      </c>
      <c r="H211" s="5">
        <v>39</v>
      </c>
      <c r="I211" s="5">
        <v>6</v>
      </c>
      <c r="J211" s="5">
        <v>3</v>
      </c>
      <c r="K211" s="1">
        <v>12</v>
      </c>
      <c r="L211" s="1">
        <f t="shared" si="33"/>
        <v>4</v>
      </c>
      <c r="M211" s="7" t="s">
        <v>140</v>
      </c>
      <c r="N211" s="7" t="s">
        <v>120</v>
      </c>
      <c r="O211" s="5" t="s">
        <v>340</v>
      </c>
      <c r="P211" s="7" t="s">
        <v>110</v>
      </c>
      <c r="Q211" s="7" t="s">
        <v>110</v>
      </c>
      <c r="R211" s="7">
        <v>2</v>
      </c>
      <c r="S211" s="7">
        <v>3</v>
      </c>
      <c r="T211" s="7">
        <v>0.25287999999999999</v>
      </c>
      <c r="Z211" s="8"/>
      <c r="AA211" s="8"/>
      <c r="AB211" s="8">
        <v>1</v>
      </c>
      <c r="AC211" s="8"/>
      <c r="AD211" s="8"/>
      <c r="AE211" s="8"/>
      <c r="AO211" s="7">
        <v>1</v>
      </c>
      <c r="AP211" s="7">
        <f t="shared" si="43"/>
        <v>0.03</v>
      </c>
      <c r="AQ211" s="7">
        <f t="shared" si="34"/>
        <v>0</v>
      </c>
      <c r="AR211" s="7">
        <f t="shared" si="35"/>
        <v>0</v>
      </c>
      <c r="AS211" s="7">
        <f t="shared" si="36"/>
        <v>0</v>
      </c>
      <c r="AT211" s="7">
        <f t="shared" si="37"/>
        <v>100</v>
      </c>
      <c r="AU211" s="7">
        <f t="shared" si="38"/>
        <v>0</v>
      </c>
      <c r="AV211" s="7">
        <f t="shared" si="39"/>
        <v>0</v>
      </c>
      <c r="AW211" s="7">
        <f t="shared" si="40"/>
        <v>0</v>
      </c>
      <c r="AX211" s="7">
        <f t="shared" si="41"/>
        <v>0</v>
      </c>
      <c r="AY211" s="7">
        <v>0</v>
      </c>
      <c r="AZ211" s="7">
        <v>6</v>
      </c>
      <c r="BA211" s="5">
        <v>5</v>
      </c>
      <c r="BB211" s="7">
        <v>0</v>
      </c>
      <c r="BC211" s="7">
        <v>8</v>
      </c>
      <c r="BD211" s="7">
        <f t="shared" si="42"/>
        <v>8</v>
      </c>
      <c r="BE211" s="5">
        <v>0</v>
      </c>
      <c r="BF211" s="5">
        <v>0</v>
      </c>
      <c r="BG211" s="5">
        <v>500</v>
      </c>
      <c r="BH211" s="7">
        <v>15000</v>
      </c>
      <c r="BI211" s="7">
        <v>300</v>
      </c>
      <c r="BJ211" s="7">
        <v>6</v>
      </c>
      <c r="BX211" s="5">
        <v>1</v>
      </c>
      <c r="CU211" s="5">
        <v>6</v>
      </c>
      <c r="CV211" s="5">
        <v>2</v>
      </c>
      <c r="CW211" s="5">
        <v>0</v>
      </c>
      <c r="CX211" s="7">
        <v>8</v>
      </c>
      <c r="CY211" s="5">
        <v>2</v>
      </c>
      <c r="DA211" s="5">
        <v>1</v>
      </c>
      <c r="DD211" s="5">
        <v>365</v>
      </c>
      <c r="DF211" s="5">
        <v>1</v>
      </c>
      <c r="DH211" s="5">
        <v>365</v>
      </c>
      <c r="DJ211" s="5">
        <v>1</v>
      </c>
      <c r="DL211" s="5">
        <v>365</v>
      </c>
      <c r="DM211" s="5">
        <v>1</v>
      </c>
      <c r="DQ211" s="5">
        <v>1</v>
      </c>
      <c r="DT211" s="5">
        <v>3</v>
      </c>
      <c r="DU211" s="5">
        <v>1</v>
      </c>
      <c r="DX211" s="7">
        <v>650</v>
      </c>
      <c r="DY211" s="7">
        <v>700</v>
      </c>
      <c r="EC211" s="5" t="s">
        <v>111</v>
      </c>
      <c r="ED211" s="5" t="s">
        <v>111</v>
      </c>
      <c r="EE211" s="5">
        <v>0</v>
      </c>
      <c r="EF211" s="5">
        <v>0</v>
      </c>
      <c r="EG211" s="5" t="s">
        <v>111</v>
      </c>
      <c r="EH211" s="5" t="s">
        <v>111</v>
      </c>
      <c r="EI211" s="5" t="s">
        <v>111</v>
      </c>
      <c r="EJ211" s="5" t="s">
        <v>114</v>
      </c>
      <c r="EK211" s="5">
        <v>14</v>
      </c>
      <c r="EL211" s="5">
        <v>26</v>
      </c>
    </row>
    <row r="212" spans="1:142" s="10" customFormat="1" ht="16.5" thickBot="1" x14ac:dyDescent="0.3">
      <c r="A212" s="10">
        <v>90</v>
      </c>
      <c r="B212" s="10" t="s">
        <v>541</v>
      </c>
      <c r="C212" s="10" t="s">
        <v>542</v>
      </c>
      <c r="D212" s="11"/>
      <c r="E212" s="11"/>
      <c r="F212" s="48"/>
      <c r="G212" s="10">
        <v>0</v>
      </c>
      <c r="H212" s="10">
        <v>27</v>
      </c>
      <c r="I212" s="10">
        <v>2</v>
      </c>
      <c r="J212" s="10">
        <v>0</v>
      </c>
      <c r="K212" s="4">
        <v>13</v>
      </c>
      <c r="L212" s="4">
        <f t="shared" si="33"/>
        <v>5</v>
      </c>
      <c r="M212" s="12" t="s">
        <v>107</v>
      </c>
      <c r="N212" s="12" t="s">
        <v>543</v>
      </c>
      <c r="O212" s="10" t="s">
        <v>340</v>
      </c>
      <c r="P212" s="12" t="s">
        <v>110</v>
      </c>
      <c r="Q212" s="12" t="s">
        <v>110</v>
      </c>
      <c r="R212" s="12">
        <v>3</v>
      </c>
      <c r="S212" s="12">
        <v>2</v>
      </c>
      <c r="T212" s="12">
        <v>2.5882000000000001</v>
      </c>
      <c r="U212" s="10">
        <v>1</v>
      </c>
      <c r="Z212" s="13"/>
      <c r="AA212" s="13">
        <v>1</v>
      </c>
      <c r="AB212" s="13"/>
      <c r="AC212" s="13"/>
      <c r="AD212" s="13"/>
      <c r="AE212" s="13"/>
      <c r="AO212" s="12">
        <v>1</v>
      </c>
      <c r="AP212" s="12">
        <f t="shared" si="43"/>
        <v>0.03</v>
      </c>
      <c r="AQ212" s="12">
        <f t="shared" si="34"/>
        <v>100</v>
      </c>
      <c r="AR212" s="7">
        <f t="shared" si="35"/>
        <v>0</v>
      </c>
      <c r="AS212" s="7">
        <f t="shared" si="36"/>
        <v>1</v>
      </c>
      <c r="AT212" s="12">
        <f t="shared" si="37"/>
        <v>0</v>
      </c>
      <c r="AU212" s="12">
        <f t="shared" si="38"/>
        <v>0</v>
      </c>
      <c r="AV212" s="12">
        <f t="shared" si="39"/>
        <v>0</v>
      </c>
      <c r="AW212" s="12">
        <f t="shared" si="40"/>
        <v>0</v>
      </c>
      <c r="AX212" s="12">
        <f t="shared" si="41"/>
        <v>100</v>
      </c>
      <c r="AY212" s="12">
        <v>0</v>
      </c>
      <c r="AZ212" s="12">
        <v>5</v>
      </c>
      <c r="BB212" s="12">
        <v>0.5</v>
      </c>
      <c r="BC212" s="12">
        <v>6</v>
      </c>
      <c r="BD212" s="12">
        <f t="shared" si="42"/>
        <v>6</v>
      </c>
      <c r="BE212" s="10">
        <v>0</v>
      </c>
      <c r="BF212" s="10">
        <v>0</v>
      </c>
      <c r="BG212" s="10">
        <v>400</v>
      </c>
      <c r="BH212" s="42">
        <v>15000</v>
      </c>
      <c r="BI212" s="12">
        <v>200</v>
      </c>
      <c r="BJ212" s="12">
        <v>4</v>
      </c>
      <c r="BM212" s="10">
        <v>1</v>
      </c>
      <c r="BP212" s="10">
        <v>1</v>
      </c>
      <c r="BT212" s="10">
        <v>1</v>
      </c>
      <c r="CE212" s="10">
        <v>1</v>
      </c>
      <c r="CN212" s="10">
        <v>1</v>
      </c>
      <c r="CU212" s="10">
        <v>6</v>
      </c>
      <c r="CV212" s="10">
        <v>2</v>
      </c>
      <c r="CW212" s="10">
        <v>0</v>
      </c>
      <c r="CX212" s="12">
        <v>8</v>
      </c>
      <c r="CY212" s="10">
        <v>2</v>
      </c>
      <c r="DA212" s="10">
        <v>1</v>
      </c>
      <c r="DC212" s="10">
        <v>1</v>
      </c>
      <c r="DD212" s="10">
        <v>365</v>
      </c>
      <c r="DF212" s="10">
        <v>1</v>
      </c>
      <c r="DG212" s="10">
        <v>1</v>
      </c>
      <c r="DH212" s="10">
        <v>365</v>
      </c>
      <c r="DJ212" s="10">
        <v>1</v>
      </c>
      <c r="DK212" s="10">
        <v>1</v>
      </c>
      <c r="DL212" s="10">
        <v>365</v>
      </c>
      <c r="DM212" s="10">
        <v>1</v>
      </c>
      <c r="DO212" s="10">
        <v>1</v>
      </c>
      <c r="DQ212" s="10">
        <v>1</v>
      </c>
      <c r="DS212" s="10">
        <v>1</v>
      </c>
      <c r="DT212" s="10">
        <v>3</v>
      </c>
      <c r="DU212" s="10">
        <v>3</v>
      </c>
      <c r="DX212" s="12">
        <v>650</v>
      </c>
      <c r="DY212" s="12">
        <v>700</v>
      </c>
      <c r="EC212" s="10" t="s">
        <v>111</v>
      </c>
      <c r="ED212" s="10" t="s">
        <v>111</v>
      </c>
      <c r="EE212" s="10">
        <v>0</v>
      </c>
      <c r="EF212" s="10">
        <v>0</v>
      </c>
      <c r="EG212" s="10" t="s">
        <v>111</v>
      </c>
      <c r="EH212" s="10" t="s">
        <v>111</v>
      </c>
      <c r="EI212" s="10" t="s">
        <v>111</v>
      </c>
      <c r="EJ212" s="10" t="s">
        <v>114</v>
      </c>
      <c r="EK212" s="10">
        <v>13</v>
      </c>
      <c r="EL212" s="10">
        <v>26</v>
      </c>
    </row>
    <row r="213" spans="1:142" x14ac:dyDescent="0.25">
      <c r="AQ213" s="1"/>
      <c r="AR213" s="1"/>
      <c r="AS213" s="1"/>
      <c r="AT213" s="1"/>
      <c r="AU213" s="1"/>
      <c r="BB213" s="16"/>
      <c r="BD213" s="16"/>
      <c r="BH213" s="16"/>
      <c r="BI213" s="16"/>
      <c r="BJ213" s="44"/>
    </row>
  </sheetData>
  <mergeCells count="40">
    <mergeCell ref="CO3:CQ3"/>
    <mergeCell ref="DT3:EB3"/>
    <mergeCell ref="EH3:EL3"/>
    <mergeCell ref="CU3:CY3"/>
    <mergeCell ref="CZ3:DC3"/>
    <mergeCell ref="DD3:DG3"/>
    <mergeCell ref="DH3:DK3"/>
    <mergeCell ref="DL3:DO3"/>
    <mergeCell ref="DP3:DS3"/>
    <mergeCell ref="BZ3:CB3"/>
    <mergeCell ref="CC3:CE3"/>
    <mergeCell ref="CF3:CH3"/>
    <mergeCell ref="CI3:CK3"/>
    <mergeCell ref="CL3:CN3"/>
    <mergeCell ref="CZ2:DS2"/>
    <mergeCell ref="E3:F3"/>
    <mergeCell ref="X3:Y3"/>
    <mergeCell ref="Z3:AA3"/>
    <mergeCell ref="AB3:AC3"/>
    <mergeCell ref="AD3:AE3"/>
    <mergeCell ref="AF3:AG3"/>
    <mergeCell ref="AH3:AI3"/>
    <mergeCell ref="AJ3:AK3"/>
    <mergeCell ref="AL3:AM3"/>
    <mergeCell ref="CR3:CT3"/>
    <mergeCell ref="BK3:BM3"/>
    <mergeCell ref="BN3:BP3"/>
    <mergeCell ref="BQ3:BS3"/>
    <mergeCell ref="BT3:BV3"/>
    <mergeCell ref="BW3:BY3"/>
    <mergeCell ref="BK1:CT1"/>
    <mergeCell ref="U2:Y2"/>
    <mergeCell ref="Z2:AE2"/>
    <mergeCell ref="AF2:AK2"/>
    <mergeCell ref="BK2:BP2"/>
    <mergeCell ref="BQ2:BV2"/>
    <mergeCell ref="BW2:CB2"/>
    <mergeCell ref="CC2:CH2"/>
    <mergeCell ref="CI2:CN2"/>
    <mergeCell ref="CO2:CT2"/>
  </mergeCells>
  <conditionalFormatting sqref="M1:N3">
    <cfRule type="cellIs" dxfId="2" priority="1" operator="equal">
      <formula>"daily wage labourer"</formula>
    </cfRule>
  </conditionalFormatting>
  <conditionalFormatting sqref="N4:O122">
    <cfRule type="cellIs" dxfId="1" priority="3" operator="equal">
      <formula>"daily wage labourer"</formula>
    </cfRule>
  </conditionalFormatting>
  <conditionalFormatting sqref="T5:T122">
    <cfRule type="containsText" dxfId="0" priority="2" operator="containsText" text="bighe">
      <formula>NOT(ISERROR(SEARCH("bighe",T5)))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ATTISO</dc:creator>
  <cp:lastModifiedBy>AIZEN BHOWMICK</cp:lastModifiedBy>
  <dcterms:created xsi:type="dcterms:W3CDTF">2015-06-05T18:17:20Z</dcterms:created>
  <dcterms:modified xsi:type="dcterms:W3CDTF">2025-08-16T11:02:20Z</dcterms:modified>
</cp:coreProperties>
</file>